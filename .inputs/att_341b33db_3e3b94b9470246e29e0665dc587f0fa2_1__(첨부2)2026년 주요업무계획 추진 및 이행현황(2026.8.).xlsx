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76AF7B3-FB17-48D5-9CA3-C066E821FB1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추진성과" sheetId="35" r:id="rId1"/>
    <sheet name="부서별 총괄표" sheetId="34" r:id="rId2"/>
    <sheet name="전체 총괄표" sheetId="32" r:id="rId3"/>
    <sheet name="경영지원팀" sheetId="14" r:id="rId4"/>
    <sheet name="소통혁신팀" sheetId="8" r:id="rId5"/>
    <sheet name="안전감사실" sheetId="21" r:id="rId6"/>
    <sheet name="문화체육팀" sheetId="16" r:id="rId7"/>
    <sheet name="교통사업팀" sheetId="18" r:id="rId8"/>
    <sheet name="환경지원팀" sheetId="27" r:id="rId9"/>
    <sheet name="환경사업팀" sheetId="19" r:id="rId10"/>
    <sheet name="행복나루" sheetId="20" r:id="rId11"/>
  </sheets>
  <definedNames>
    <definedName name="_xlnm._FilterDatabase" localSheetId="3" hidden="1">경영지원팀!$A$2:$M$22</definedName>
    <definedName name="_xlnm._FilterDatabase" localSheetId="7" hidden="1">교통사업팀!$A$2:$M$13</definedName>
    <definedName name="_xlnm._FilterDatabase" localSheetId="6" hidden="1">문화체육팀!$A$2:$M$20</definedName>
    <definedName name="_xlnm._FilterDatabase" localSheetId="1" hidden="1">#REF!</definedName>
    <definedName name="_xlnm._FilterDatabase" localSheetId="4" hidden="1">소통혁신팀!$A$2:$M$13</definedName>
    <definedName name="_xlnm._FilterDatabase" localSheetId="5" hidden="1">안전감사실!$A$2:$M$8</definedName>
    <definedName name="_xlnm._FilterDatabase" localSheetId="2" hidden="1">#REF!</definedName>
    <definedName name="_xlnm._FilterDatabase" localSheetId="0" hidden="1">#REF!</definedName>
    <definedName name="_xlnm._FilterDatabase" localSheetId="10" hidden="1">행복나루!$A$2:$M$22</definedName>
    <definedName name="_xlnm._FilterDatabase" localSheetId="9" hidden="1">환경사업팀!$A$2:$M$14</definedName>
    <definedName name="_xlnm._FilterDatabase" localSheetId="8" hidden="1">환경지원팀!$A$2:$M$6</definedName>
    <definedName name="_xlnm._FilterDatabase" hidden="1">#REF!</definedName>
    <definedName name="_xlnm.Consolidate_Area" localSheetId="3" hidden="1">#REF!</definedName>
    <definedName name="_xlnm.Consolidate_Area" localSheetId="7" hidden="1">#REF!</definedName>
    <definedName name="_xlnm.Consolidate_Area" localSheetId="6" hidden="1">#REF!</definedName>
    <definedName name="_xlnm.Consolidate_Area" localSheetId="1" hidden="1">#REF!</definedName>
    <definedName name="_xlnm.Consolidate_Area" localSheetId="5" hidden="1">#REF!</definedName>
    <definedName name="_xlnm.Consolidate_Area" localSheetId="2" hidden="1">#REF!</definedName>
    <definedName name="_xlnm.Consolidate_Area" localSheetId="0" hidden="1">#REF!</definedName>
    <definedName name="_xlnm.Consolidate_Area" localSheetId="10" hidden="1">#REF!</definedName>
    <definedName name="_xlnm.Consolidate_Area" localSheetId="9" hidden="1">#REF!</definedName>
    <definedName name="_xlnm.Consolidate_Area" localSheetId="8" hidden="1">#REF!</definedName>
    <definedName name="_xlnm.Consolidate_Area" hidden="1">#REF!</definedName>
    <definedName name="_xlnm.Print_Area" localSheetId="3">경영지원팀!$A$1:$M$23</definedName>
    <definedName name="_xlnm.Print_Area" localSheetId="7">교통사업팀!$A$1:$M$15</definedName>
    <definedName name="_xlnm.Print_Area" localSheetId="6">문화체육팀!$A$1:$M$24</definedName>
    <definedName name="_xlnm.Print_Area" localSheetId="1">'부서별 총괄표'!$A$1:$G$188</definedName>
    <definedName name="_xlnm.Print_Area" localSheetId="4">소통혁신팀!$A$1:$M$16</definedName>
    <definedName name="_xlnm.Print_Area" localSheetId="5">안전감사실!$A$1:$M$9</definedName>
    <definedName name="_xlnm.Print_Area" localSheetId="2">'전체 총괄표'!$A$1:$K$27</definedName>
    <definedName name="_xlnm.Print_Area" localSheetId="10">행복나루!$A$1:$M$22</definedName>
    <definedName name="_xlnm.Print_Area" localSheetId="9">환경사업팀!$A$1:$M$16</definedName>
    <definedName name="_xlnm.Print_Area" localSheetId="8">환경지원팀!$A$1:$M$9</definedName>
    <definedName name="_xlnm.Print_Titles" localSheetId="3">경영지원팀!$2:$2</definedName>
    <definedName name="_xlnm.Print_Titles" localSheetId="7">교통사업팀!$2:$2</definedName>
    <definedName name="_xlnm.Print_Titles" localSheetId="6">문화체육팀!$2:$2</definedName>
    <definedName name="_xlnm.Print_Titles" localSheetId="4">소통혁신팀!$2:$2</definedName>
    <definedName name="_xlnm.Print_Titles" localSheetId="5">안전감사실!$2:$2</definedName>
    <definedName name="_xlnm.Print_Titles" localSheetId="10">행복나루!$2:$2</definedName>
    <definedName name="_xlnm.Print_Titles" localSheetId="9">환경사업팀!$2:$2</definedName>
    <definedName name="_xlnm.Print_Titles" localSheetId="8">환경지원팀!$2:$2</definedName>
  </definedNames>
  <calcPr calcId="191029"/>
  <fileRecoveryPr repairLoad="1"/>
</workbook>
</file>

<file path=xl/calcChain.xml><?xml version="1.0" encoding="utf-8"?>
<calcChain xmlns="http://schemas.openxmlformats.org/spreadsheetml/2006/main">
  <c r="C14" i="18" l="1"/>
  <c r="I14" i="18"/>
  <c r="C12" i="8"/>
  <c r="B10" i="8" l="1"/>
  <c r="C10" i="8"/>
  <c r="B16" i="8"/>
  <c r="C16" i="8"/>
  <c r="I9" i="21"/>
  <c r="I8" i="21"/>
  <c r="I7" i="21"/>
  <c r="C7" i="21"/>
  <c r="B7" i="21"/>
  <c r="I6" i="21"/>
  <c r="C6" i="21"/>
  <c r="I5" i="21"/>
  <c r="I4" i="21"/>
  <c r="C4" i="21"/>
  <c r="I3" i="21"/>
  <c r="C3" i="21"/>
  <c r="B3" i="21"/>
  <c r="B3" i="27" l="1"/>
  <c r="E51" i="20"/>
  <c r="E46" i="20"/>
  <c r="E41" i="20"/>
  <c r="E35" i="20"/>
  <c r="E53" i="19"/>
  <c r="E48" i="19"/>
  <c r="E43" i="19"/>
  <c r="E37" i="19"/>
  <c r="E54" i="16"/>
  <c r="E49" i="16"/>
  <c r="E44" i="16"/>
  <c r="E38" i="16"/>
  <c r="E54" i="14"/>
  <c r="E49" i="14"/>
  <c r="E44" i="14"/>
  <c r="E38" i="14"/>
  <c r="C15" i="8"/>
  <c r="P8" i="35"/>
  <c r="O8" i="35"/>
  <c r="N8" i="35"/>
  <c r="L8" i="35"/>
  <c r="H23" i="8"/>
  <c r="J8" i="35" s="1"/>
  <c r="H31" i="14"/>
  <c r="H27" i="20"/>
  <c r="H20" i="19"/>
  <c r="H16" i="27"/>
  <c r="H20" i="18"/>
  <c r="M8" i="35" s="1"/>
  <c r="H31" i="16"/>
  <c r="H14" i="21"/>
  <c r="K8" i="35" s="1"/>
  <c r="I8" i="35"/>
  <c r="E8" i="35"/>
  <c r="B53" i="19"/>
  <c r="B48" i="19"/>
  <c r="B43" i="19"/>
  <c r="C6" i="19"/>
  <c r="C16" i="19"/>
  <c r="C13" i="19"/>
  <c r="C11" i="19"/>
  <c r="C7" i="19"/>
  <c r="C5" i="19"/>
  <c r="C4" i="19"/>
  <c r="C3" i="19"/>
  <c r="B16" i="19"/>
  <c r="B13" i="19"/>
  <c r="B6" i="19"/>
  <c r="B3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D57" i="19"/>
  <c r="F19" i="19"/>
  <c r="D33" i="19"/>
  <c r="D35" i="19" s="1"/>
  <c r="L10" i="35" l="1"/>
  <c r="G19" i="19"/>
  <c r="H19" i="19" s="1"/>
  <c r="D58" i="19"/>
  <c r="D47" i="19"/>
  <c r="D51" i="19"/>
  <c r="D46" i="19"/>
  <c r="D56" i="19"/>
  <c r="D42" i="19"/>
  <c r="D53" i="19"/>
  <c r="D41" i="19"/>
  <c r="D52" i="19"/>
  <c r="D40" i="19"/>
  <c r="D44" i="19"/>
  <c r="D54" i="19"/>
  <c r="D39" i="19"/>
  <c r="D50" i="19"/>
  <c r="D38" i="19"/>
  <c r="D45" i="19"/>
  <c r="D43" i="19"/>
  <c r="D37" i="19"/>
  <c r="D49" i="19"/>
  <c r="D55" i="19"/>
  <c r="D48" i="19"/>
  <c r="D59" i="19" l="1"/>
  <c r="D57" i="20" l="1"/>
  <c r="B57" i="20"/>
  <c r="D56" i="20"/>
  <c r="D55" i="20"/>
  <c r="D54" i="20"/>
  <c r="D53" i="20"/>
  <c r="D52" i="20"/>
  <c r="D51" i="20"/>
  <c r="B51" i="20"/>
  <c r="D50" i="20"/>
  <c r="D49" i="20"/>
  <c r="D48" i="20"/>
  <c r="D47" i="20"/>
  <c r="D46" i="20"/>
  <c r="B46" i="20"/>
  <c r="D45" i="20"/>
  <c r="D44" i="20"/>
  <c r="D43" i="20"/>
  <c r="D42" i="20"/>
  <c r="D41" i="20"/>
  <c r="B41" i="20"/>
  <c r="D40" i="20"/>
  <c r="D39" i="20"/>
  <c r="D38" i="20"/>
  <c r="D37" i="20"/>
  <c r="D36" i="20"/>
  <c r="D35" i="20"/>
  <c r="B35" i="20"/>
  <c r="D33" i="20"/>
  <c r="D31" i="20"/>
  <c r="H26" i="20"/>
  <c r="G26" i="20"/>
  <c r="F26" i="20"/>
  <c r="C19" i="20"/>
  <c r="C3" i="20"/>
  <c r="B3" i="20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6" i="27"/>
  <c r="D34" i="27"/>
  <c r="H15" i="27"/>
  <c r="G15" i="27"/>
  <c r="F15" i="27"/>
  <c r="D34" i="18"/>
  <c r="D36" i="18" s="1"/>
  <c r="F19" i="18"/>
  <c r="I15" i="18"/>
  <c r="C15" i="18"/>
  <c r="I13" i="18"/>
  <c r="C13" i="18"/>
  <c r="I12" i="18"/>
  <c r="I11" i="18"/>
  <c r="I10" i="18"/>
  <c r="I9" i="18"/>
  <c r="C9" i="18"/>
  <c r="B9" i="18"/>
  <c r="I8" i="18"/>
  <c r="C8" i="18"/>
  <c r="I7" i="18"/>
  <c r="I6" i="18"/>
  <c r="I5" i="18"/>
  <c r="I4" i="18"/>
  <c r="C4" i="18"/>
  <c r="B4" i="18"/>
  <c r="I3" i="18"/>
  <c r="C3" i="18"/>
  <c r="B3" i="18"/>
  <c r="D60" i="16"/>
  <c r="B60" i="16"/>
  <c r="D59" i="16"/>
  <c r="D58" i="16"/>
  <c r="D57" i="16"/>
  <c r="D56" i="16"/>
  <c r="D55" i="16"/>
  <c r="D54" i="16"/>
  <c r="B54" i="16"/>
  <c r="D53" i="16"/>
  <c r="D52" i="16"/>
  <c r="D51" i="16"/>
  <c r="D50" i="16"/>
  <c r="D49" i="16"/>
  <c r="B49" i="16"/>
  <c r="D48" i="16"/>
  <c r="D47" i="16"/>
  <c r="D46" i="16"/>
  <c r="D45" i="16"/>
  <c r="D44" i="16"/>
  <c r="B44" i="16"/>
  <c r="D43" i="16"/>
  <c r="D42" i="16"/>
  <c r="D41" i="16"/>
  <c r="D40" i="16"/>
  <c r="D39" i="16"/>
  <c r="D38" i="16"/>
  <c r="B38" i="16"/>
  <c r="D36" i="16"/>
  <c r="D34" i="16"/>
  <c r="H30" i="16"/>
  <c r="G30" i="16"/>
  <c r="F30" i="16"/>
  <c r="D57" i="21"/>
  <c r="E72" i="32" s="1"/>
  <c r="D56" i="21"/>
  <c r="E71" i="32" s="1"/>
  <c r="D55" i="21"/>
  <c r="E70" i="34" s="1"/>
  <c r="D54" i="21"/>
  <c r="E70" i="35" s="1"/>
  <c r="D53" i="21"/>
  <c r="D52" i="21"/>
  <c r="E68" i="35" s="1"/>
  <c r="B52" i="21"/>
  <c r="C68" i="35" s="1"/>
  <c r="D51" i="21"/>
  <c r="E67" i="35" s="1"/>
  <c r="D50" i="21"/>
  <c r="E65" i="34" s="1"/>
  <c r="D49" i="21"/>
  <c r="E64" i="34" s="1"/>
  <c r="D48" i="21"/>
  <c r="E63" i="34" s="1"/>
  <c r="D47" i="21"/>
  <c r="E63" i="35" s="1"/>
  <c r="B47" i="21"/>
  <c r="C62" i="32" s="1"/>
  <c r="D46" i="21"/>
  <c r="E61" i="32" s="1"/>
  <c r="D45" i="21"/>
  <c r="E60" i="32" s="1"/>
  <c r="D44" i="21"/>
  <c r="E59" i="32" s="1"/>
  <c r="D43" i="21"/>
  <c r="D42" i="21"/>
  <c r="E57" i="32" s="1"/>
  <c r="B42" i="21"/>
  <c r="C58" i="35" s="1"/>
  <c r="D41" i="21"/>
  <c r="E57" i="35" s="1"/>
  <c r="D40" i="21"/>
  <c r="E56" i="35" s="1"/>
  <c r="D39" i="21"/>
  <c r="E55" i="35" s="1"/>
  <c r="D38" i="21"/>
  <c r="E53" i="34" s="1"/>
  <c r="D37" i="21"/>
  <c r="E52" i="34" s="1"/>
  <c r="D36" i="21"/>
  <c r="B36" i="21"/>
  <c r="C51" i="32" s="1"/>
  <c r="D32" i="21"/>
  <c r="D34" i="21" s="1"/>
  <c r="G13" i="21"/>
  <c r="H13" i="21" s="1"/>
  <c r="K9" i="35" s="1"/>
  <c r="F13" i="21"/>
  <c r="D31" i="8"/>
  <c r="D33" i="8" s="1"/>
  <c r="F22" i="8"/>
  <c r="B15" i="8"/>
  <c r="C9" i="8"/>
  <c r="C7" i="8"/>
  <c r="C4" i="8"/>
  <c r="C3" i="8"/>
  <c r="B3" i="8"/>
  <c r="D60" i="14"/>
  <c r="B60" i="14"/>
  <c r="D59" i="14"/>
  <c r="D58" i="14"/>
  <c r="D57" i="14"/>
  <c r="D56" i="14"/>
  <c r="D55" i="14"/>
  <c r="D54" i="14"/>
  <c r="B54" i="14"/>
  <c r="D53" i="14"/>
  <c r="D52" i="14"/>
  <c r="D51" i="14"/>
  <c r="D50" i="14"/>
  <c r="D49" i="14"/>
  <c r="B49" i="14"/>
  <c r="D48" i="14"/>
  <c r="D47" i="14"/>
  <c r="D46" i="14"/>
  <c r="D45" i="14"/>
  <c r="D44" i="14"/>
  <c r="B44" i="14"/>
  <c r="D43" i="14"/>
  <c r="D42" i="14"/>
  <c r="D41" i="14"/>
  <c r="D40" i="14"/>
  <c r="D39" i="14"/>
  <c r="D38" i="14"/>
  <c r="B38" i="14"/>
  <c r="D36" i="14"/>
  <c r="D34" i="14"/>
  <c r="H30" i="14"/>
  <c r="G30" i="14"/>
  <c r="F30" i="14"/>
  <c r="C23" i="14"/>
  <c r="C21" i="14"/>
  <c r="C14" i="14"/>
  <c r="C13" i="14"/>
  <c r="C12" i="14"/>
  <c r="C7" i="14"/>
  <c r="C3" i="14"/>
  <c r="E188" i="32"/>
  <c r="C188" i="32"/>
  <c r="E187" i="32"/>
  <c r="E186" i="32"/>
  <c r="E185" i="32"/>
  <c r="E184" i="32"/>
  <c r="E183" i="32"/>
  <c r="E182" i="32"/>
  <c r="C182" i="32"/>
  <c r="E181" i="32"/>
  <c r="E180" i="32"/>
  <c r="E179" i="32"/>
  <c r="E178" i="32"/>
  <c r="E177" i="32"/>
  <c r="C177" i="32"/>
  <c r="E176" i="32"/>
  <c r="E175" i="32"/>
  <c r="E174" i="32"/>
  <c r="E173" i="32"/>
  <c r="E172" i="32"/>
  <c r="C172" i="32"/>
  <c r="E171" i="32"/>
  <c r="E170" i="32"/>
  <c r="E169" i="32"/>
  <c r="E168" i="32"/>
  <c r="E167" i="32"/>
  <c r="E166" i="32"/>
  <c r="C166" i="32"/>
  <c r="E164" i="32"/>
  <c r="E163" i="32"/>
  <c r="E162" i="32"/>
  <c r="E161" i="32"/>
  <c r="E160" i="32"/>
  <c r="E159" i="32"/>
  <c r="E158" i="32"/>
  <c r="E157" i="32"/>
  <c r="E156" i="32"/>
  <c r="E155" i="32"/>
  <c r="E154" i="32"/>
  <c r="E153" i="32"/>
  <c r="E152" i="32"/>
  <c r="E151" i="32"/>
  <c r="E150" i="32"/>
  <c r="E149" i="32"/>
  <c r="E148" i="32"/>
  <c r="E147" i="32"/>
  <c r="E146" i="32"/>
  <c r="E145" i="32"/>
  <c r="E144" i="32"/>
  <c r="E142" i="32"/>
  <c r="E141" i="32"/>
  <c r="E140" i="32"/>
  <c r="E139" i="32"/>
  <c r="E138" i="32"/>
  <c r="E137" i="32"/>
  <c r="E136" i="32"/>
  <c r="E135" i="32"/>
  <c r="E134" i="32"/>
  <c r="E133" i="32"/>
  <c r="E132" i="32"/>
  <c r="E131" i="32"/>
  <c r="E130" i="32"/>
  <c r="E129" i="32"/>
  <c r="E128" i="32"/>
  <c r="E127" i="32"/>
  <c r="E126" i="32"/>
  <c r="E125" i="32"/>
  <c r="E124" i="32"/>
  <c r="E123" i="32"/>
  <c r="E122" i="32"/>
  <c r="E121" i="32"/>
  <c r="E120" i="32"/>
  <c r="E96" i="32"/>
  <c r="C96" i="32"/>
  <c r="E95" i="32"/>
  <c r="E94" i="32"/>
  <c r="E93" i="32"/>
  <c r="E92" i="32"/>
  <c r="E91" i="32"/>
  <c r="E90" i="32"/>
  <c r="C90" i="32"/>
  <c r="E89" i="32"/>
  <c r="E88" i="32"/>
  <c r="E87" i="32"/>
  <c r="E86" i="32"/>
  <c r="E85" i="32"/>
  <c r="C85" i="32"/>
  <c r="E84" i="32"/>
  <c r="E83" i="32"/>
  <c r="E82" i="32"/>
  <c r="E81" i="32"/>
  <c r="E80" i="32"/>
  <c r="C80" i="32"/>
  <c r="E79" i="32"/>
  <c r="E78" i="32"/>
  <c r="E77" i="32"/>
  <c r="E76" i="32"/>
  <c r="E75" i="32"/>
  <c r="E74" i="32"/>
  <c r="C74" i="32"/>
  <c r="E68" i="32"/>
  <c r="E58" i="32"/>
  <c r="E55" i="32"/>
  <c r="E26" i="32"/>
  <c r="E25" i="32"/>
  <c r="E24" i="32"/>
  <c r="E23" i="32"/>
  <c r="E22" i="32"/>
  <c r="E21" i="32"/>
  <c r="C21" i="32"/>
  <c r="E20" i="32"/>
  <c r="E19" i="32"/>
  <c r="E18" i="32"/>
  <c r="E17" i="32"/>
  <c r="E16" i="32"/>
  <c r="C16" i="32"/>
  <c r="E15" i="32"/>
  <c r="E14" i="32"/>
  <c r="E13" i="32"/>
  <c r="E12" i="32"/>
  <c r="E11" i="32"/>
  <c r="C11" i="32"/>
  <c r="E10" i="32"/>
  <c r="E9" i="32"/>
  <c r="E8" i="32"/>
  <c r="E7" i="32"/>
  <c r="E6" i="32"/>
  <c r="E5" i="32"/>
  <c r="E27" i="32" s="1"/>
  <c r="C5" i="32"/>
  <c r="C27" i="32" s="1"/>
  <c r="E188" i="34"/>
  <c r="C188" i="34"/>
  <c r="E187" i="34"/>
  <c r="E186" i="34"/>
  <c r="E185" i="34"/>
  <c r="E184" i="34"/>
  <c r="E183" i="34"/>
  <c r="E182" i="34"/>
  <c r="C182" i="34"/>
  <c r="E181" i="34"/>
  <c r="E180" i="34"/>
  <c r="E179" i="34"/>
  <c r="E178" i="34"/>
  <c r="E177" i="34"/>
  <c r="C177" i="34"/>
  <c r="E176" i="34"/>
  <c r="E175" i="34"/>
  <c r="E174" i="34"/>
  <c r="E173" i="34"/>
  <c r="E172" i="34"/>
  <c r="C172" i="34"/>
  <c r="E171" i="34"/>
  <c r="E170" i="34"/>
  <c r="E169" i="34"/>
  <c r="E168" i="34"/>
  <c r="E167" i="34"/>
  <c r="E166" i="34"/>
  <c r="C166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2" i="34"/>
  <c r="E141" i="34"/>
  <c r="E140" i="34"/>
  <c r="E139" i="34"/>
  <c r="E138" i="34"/>
  <c r="E137" i="34"/>
  <c r="E136" i="34"/>
  <c r="E135" i="34"/>
  <c r="E134" i="34"/>
  <c r="E133" i="34"/>
  <c r="E132" i="34"/>
  <c r="E131" i="34"/>
  <c r="E130" i="34"/>
  <c r="E129" i="34"/>
  <c r="E128" i="34"/>
  <c r="E127" i="34"/>
  <c r="E126" i="34"/>
  <c r="E125" i="34"/>
  <c r="E124" i="34"/>
  <c r="E123" i="34"/>
  <c r="E122" i="34"/>
  <c r="E121" i="34"/>
  <c r="E120" i="34"/>
  <c r="E96" i="34"/>
  <c r="C96" i="34"/>
  <c r="E95" i="34"/>
  <c r="E94" i="34"/>
  <c r="E93" i="34"/>
  <c r="E92" i="34"/>
  <c r="E91" i="34"/>
  <c r="E90" i="34"/>
  <c r="C90" i="34"/>
  <c r="E89" i="34"/>
  <c r="E88" i="34"/>
  <c r="E87" i="34"/>
  <c r="E86" i="34"/>
  <c r="E85" i="34"/>
  <c r="C85" i="34"/>
  <c r="E84" i="34"/>
  <c r="E83" i="34"/>
  <c r="E82" i="34"/>
  <c r="E81" i="34"/>
  <c r="E80" i="34"/>
  <c r="C80" i="34"/>
  <c r="E79" i="34"/>
  <c r="E78" i="34"/>
  <c r="E77" i="34"/>
  <c r="E76" i="34"/>
  <c r="E75" i="34"/>
  <c r="E74" i="34"/>
  <c r="C74" i="34"/>
  <c r="E68" i="34"/>
  <c r="E67" i="34"/>
  <c r="E58" i="34"/>
  <c r="E26" i="34"/>
  <c r="E25" i="34"/>
  <c r="E24" i="34"/>
  <c r="E23" i="34"/>
  <c r="E22" i="34"/>
  <c r="E21" i="34"/>
  <c r="C21" i="34"/>
  <c r="E20" i="34"/>
  <c r="E19" i="34"/>
  <c r="E18" i="34"/>
  <c r="E17" i="34"/>
  <c r="E16" i="34"/>
  <c r="C16" i="34"/>
  <c r="E15" i="34"/>
  <c r="E14" i="34"/>
  <c r="E13" i="34"/>
  <c r="E12" i="34"/>
  <c r="E11" i="34"/>
  <c r="C11" i="34"/>
  <c r="E10" i="34"/>
  <c r="E9" i="34"/>
  <c r="E8" i="34"/>
  <c r="E7" i="34"/>
  <c r="E6" i="34"/>
  <c r="E5" i="34"/>
  <c r="E27" i="34" s="1"/>
  <c r="C5" i="34"/>
  <c r="C27" i="34" s="1"/>
  <c r="E188" i="35"/>
  <c r="E187" i="35"/>
  <c r="E186" i="35"/>
  <c r="E185" i="35"/>
  <c r="E184" i="35"/>
  <c r="E183" i="35"/>
  <c r="C183" i="35"/>
  <c r="E182" i="35"/>
  <c r="E181" i="35"/>
  <c r="E180" i="35"/>
  <c r="E179" i="35"/>
  <c r="E178" i="35"/>
  <c r="C178" i="35"/>
  <c r="E177" i="35"/>
  <c r="E176" i="35"/>
  <c r="E175" i="35"/>
  <c r="E174" i="35"/>
  <c r="E173" i="35"/>
  <c r="C173" i="35"/>
  <c r="E172" i="35"/>
  <c r="E171" i="35"/>
  <c r="E170" i="35"/>
  <c r="E169" i="35"/>
  <c r="E168" i="35"/>
  <c r="E167" i="35"/>
  <c r="C167" i="35"/>
  <c r="E165" i="35"/>
  <c r="E164" i="35"/>
  <c r="E163" i="35"/>
  <c r="E162" i="35"/>
  <c r="E161" i="35"/>
  <c r="E160" i="35"/>
  <c r="E159" i="35"/>
  <c r="E158" i="35"/>
  <c r="E157" i="35"/>
  <c r="E156" i="35"/>
  <c r="E155" i="35"/>
  <c r="E154" i="35"/>
  <c r="E153" i="35"/>
  <c r="E152" i="35"/>
  <c r="E151" i="35"/>
  <c r="E150" i="35"/>
  <c r="E149" i="35"/>
  <c r="E148" i="35"/>
  <c r="E147" i="35"/>
  <c r="E146" i="35"/>
  <c r="E145" i="35"/>
  <c r="E144" i="35"/>
  <c r="E142" i="35"/>
  <c r="E141" i="35"/>
  <c r="E140" i="35"/>
  <c r="E139" i="35"/>
  <c r="E138" i="35"/>
  <c r="E137" i="35"/>
  <c r="E136" i="35"/>
  <c r="E135" i="35"/>
  <c r="E134" i="35"/>
  <c r="E133" i="35"/>
  <c r="E132" i="35"/>
  <c r="E131" i="35"/>
  <c r="E130" i="35"/>
  <c r="E129" i="35"/>
  <c r="E128" i="35"/>
  <c r="E127" i="35"/>
  <c r="E126" i="35"/>
  <c r="E125" i="35"/>
  <c r="E124" i="35"/>
  <c r="E123" i="35"/>
  <c r="E122" i="35"/>
  <c r="E121" i="35"/>
  <c r="E96" i="35"/>
  <c r="E95" i="35"/>
  <c r="E94" i="35"/>
  <c r="E93" i="35"/>
  <c r="E92" i="35"/>
  <c r="E91" i="35"/>
  <c r="C91" i="35"/>
  <c r="E90" i="35"/>
  <c r="E89" i="35"/>
  <c r="E88" i="35"/>
  <c r="E87" i="35"/>
  <c r="E86" i="35"/>
  <c r="C86" i="35"/>
  <c r="E85" i="35"/>
  <c r="E84" i="35"/>
  <c r="E83" i="35"/>
  <c r="E82" i="35"/>
  <c r="E81" i="35"/>
  <c r="C81" i="35"/>
  <c r="E80" i="35"/>
  <c r="E79" i="35"/>
  <c r="E78" i="35"/>
  <c r="E77" i="35"/>
  <c r="E76" i="35"/>
  <c r="E75" i="35"/>
  <c r="C75" i="35"/>
  <c r="E69" i="35"/>
  <c r="E66" i="35"/>
  <c r="E59" i="35"/>
  <c r="E27" i="35"/>
  <c r="E26" i="35"/>
  <c r="E25" i="35"/>
  <c r="E24" i="35"/>
  <c r="E23" i="35"/>
  <c r="E22" i="35"/>
  <c r="C22" i="35"/>
  <c r="E21" i="35"/>
  <c r="E20" i="35"/>
  <c r="E19" i="35"/>
  <c r="E18" i="35"/>
  <c r="E17" i="35"/>
  <c r="C17" i="35"/>
  <c r="E16" i="35"/>
  <c r="E15" i="35"/>
  <c r="E14" i="35"/>
  <c r="E13" i="35"/>
  <c r="E12" i="35"/>
  <c r="C12" i="35"/>
  <c r="E11" i="35"/>
  <c r="E10" i="35"/>
  <c r="P9" i="35"/>
  <c r="F166" i="34" s="1"/>
  <c r="N9" i="35"/>
  <c r="F120" i="34" s="1"/>
  <c r="L9" i="35"/>
  <c r="F74" i="34" s="1"/>
  <c r="I9" i="35"/>
  <c r="F5" i="34" s="1"/>
  <c r="E9" i="35"/>
  <c r="E7" i="35"/>
  <c r="E6" i="35"/>
  <c r="P5" i="35"/>
  <c r="P6" i="35" s="1"/>
  <c r="O5" i="35"/>
  <c r="N5" i="35"/>
  <c r="L5" i="35"/>
  <c r="I5" i="35"/>
  <c r="E5" i="35"/>
  <c r="C5" i="35"/>
  <c r="P4" i="35"/>
  <c r="L4" i="35"/>
  <c r="I4" i="35"/>
  <c r="B49" i="18" l="1"/>
  <c r="D48" i="18"/>
  <c r="E108" i="35" s="1"/>
  <c r="B44" i="18"/>
  <c r="D39" i="18"/>
  <c r="E99" i="35" s="1"/>
  <c r="B54" i="18"/>
  <c r="C113" i="34" s="1"/>
  <c r="D52" i="18"/>
  <c r="E112" i="35" s="1"/>
  <c r="D59" i="18"/>
  <c r="E118" i="32" s="1"/>
  <c r="C108" i="32"/>
  <c r="C109" i="35"/>
  <c r="E98" i="32"/>
  <c r="C113" i="32"/>
  <c r="D44" i="18"/>
  <c r="E103" i="34" s="1"/>
  <c r="D54" i="18"/>
  <c r="D45" i="18"/>
  <c r="E105" i="35" s="1"/>
  <c r="D55" i="18"/>
  <c r="E115" i="35" s="1"/>
  <c r="C103" i="34"/>
  <c r="D46" i="18"/>
  <c r="E106" i="35" s="1"/>
  <c r="D56" i="18"/>
  <c r="E116" i="35" s="1"/>
  <c r="D43" i="18"/>
  <c r="E102" i="32" s="1"/>
  <c r="D53" i="18"/>
  <c r="E113" i="35" s="1"/>
  <c r="D57" i="18"/>
  <c r="D58" i="18"/>
  <c r="E118" i="35" s="1"/>
  <c r="G19" i="18"/>
  <c r="H19" i="18" s="1"/>
  <c r="M9" i="35" s="1"/>
  <c r="F97" i="34" s="1"/>
  <c r="D40" i="18"/>
  <c r="D50" i="18"/>
  <c r="D47" i="18"/>
  <c r="E106" i="34" s="1"/>
  <c r="B38" i="18"/>
  <c r="C98" i="35" s="1"/>
  <c r="D38" i="18"/>
  <c r="E98" i="35" s="1"/>
  <c r="D49" i="18"/>
  <c r="E109" i="35" s="1"/>
  <c r="D41" i="18"/>
  <c r="E101" i="35" s="1"/>
  <c r="D51" i="18"/>
  <c r="D42" i="18"/>
  <c r="E102" i="35" s="1"/>
  <c r="E104" i="34"/>
  <c r="E106" i="32"/>
  <c r="C108" i="34"/>
  <c r="E98" i="34"/>
  <c r="B51" i="8"/>
  <c r="C44" i="32" s="1"/>
  <c r="E67" i="32"/>
  <c r="E65" i="32"/>
  <c r="E64" i="32"/>
  <c r="E54" i="34"/>
  <c r="E55" i="34"/>
  <c r="C67" i="34"/>
  <c r="C57" i="34"/>
  <c r="E53" i="32"/>
  <c r="E60" i="35"/>
  <c r="E54" i="32"/>
  <c r="E58" i="35"/>
  <c r="E61" i="35"/>
  <c r="E57" i="34"/>
  <c r="E60" i="34"/>
  <c r="E70" i="32"/>
  <c r="E71" i="35"/>
  <c r="E65" i="35"/>
  <c r="E56" i="34"/>
  <c r="E69" i="34"/>
  <c r="E52" i="32"/>
  <c r="D58" i="21"/>
  <c r="E69" i="32"/>
  <c r="E59" i="34"/>
  <c r="K5" i="35"/>
  <c r="E66" i="34"/>
  <c r="E62" i="32"/>
  <c r="E63" i="32"/>
  <c r="F51" i="34"/>
  <c r="C52" i="35"/>
  <c r="E62" i="35"/>
  <c r="E73" i="35"/>
  <c r="E53" i="35"/>
  <c r="E56" i="32"/>
  <c r="E66" i="32"/>
  <c r="E54" i="35"/>
  <c r="E64" i="35"/>
  <c r="C57" i="32"/>
  <c r="C67" i="32"/>
  <c r="E36" i="21"/>
  <c r="E47" i="21"/>
  <c r="C51" i="34"/>
  <c r="E61" i="34"/>
  <c r="E71" i="34"/>
  <c r="E42" i="21"/>
  <c r="E52" i="21"/>
  <c r="E72" i="35"/>
  <c r="B58" i="21"/>
  <c r="K4" i="35" s="1"/>
  <c r="E52" i="35"/>
  <c r="C63" i="35"/>
  <c r="E51" i="34"/>
  <c r="C62" i="34"/>
  <c r="E72" i="34"/>
  <c r="E62" i="34"/>
  <c r="E51" i="32"/>
  <c r="B46" i="8"/>
  <c r="C39" i="32" s="1"/>
  <c r="G22" i="8"/>
  <c r="H22" i="8" s="1"/>
  <c r="J9" i="35" s="1"/>
  <c r="J5" i="35"/>
  <c r="B41" i="8"/>
  <c r="B35" i="8"/>
  <c r="C189" i="35"/>
  <c r="E143" i="35"/>
  <c r="L6" i="35"/>
  <c r="G74" i="34" s="1"/>
  <c r="C97" i="35"/>
  <c r="E97" i="35"/>
  <c r="C28" i="35"/>
  <c r="E28" i="35"/>
  <c r="I6" i="35"/>
  <c r="G5" i="34" s="1"/>
  <c r="E189" i="35"/>
  <c r="G166" i="34"/>
  <c r="E143" i="34"/>
  <c r="E143" i="32"/>
  <c r="E166" i="35"/>
  <c r="O9" i="35"/>
  <c r="F143" i="34" s="1"/>
  <c r="E165" i="34"/>
  <c r="E101" i="34" l="1"/>
  <c r="E107" i="32"/>
  <c r="E107" i="34"/>
  <c r="E111" i="34"/>
  <c r="M5" i="35"/>
  <c r="L7" i="35" s="1"/>
  <c r="E111" i="32"/>
  <c r="E118" i="34"/>
  <c r="E49" i="18"/>
  <c r="E105" i="34"/>
  <c r="E97" i="34"/>
  <c r="D60" i="18"/>
  <c r="C97" i="32"/>
  <c r="C119" i="32" s="1"/>
  <c r="E105" i="32"/>
  <c r="E114" i="32"/>
  <c r="B60" i="18"/>
  <c r="M4" i="35" s="1"/>
  <c r="E100" i="34"/>
  <c r="E119" i="35"/>
  <c r="E115" i="34"/>
  <c r="C97" i="34"/>
  <c r="C119" i="34" s="1"/>
  <c r="E108" i="32"/>
  <c r="E97" i="32"/>
  <c r="E104" i="32"/>
  <c r="C114" i="35"/>
  <c r="C103" i="32"/>
  <c r="C104" i="35"/>
  <c r="C120" i="35" s="1"/>
  <c r="E114" i="34"/>
  <c r="E108" i="34"/>
  <c r="E107" i="35"/>
  <c r="E113" i="34"/>
  <c r="E113" i="32"/>
  <c r="E117" i="34"/>
  <c r="E114" i="35"/>
  <c r="E104" i="35"/>
  <c r="E101" i="32"/>
  <c r="E110" i="34"/>
  <c r="E111" i="35"/>
  <c r="E110" i="32"/>
  <c r="E112" i="32"/>
  <c r="E112" i="34"/>
  <c r="E44" i="18"/>
  <c r="E116" i="34"/>
  <c r="E117" i="35"/>
  <c r="E116" i="32"/>
  <c r="E103" i="32"/>
  <c r="E117" i="32"/>
  <c r="E100" i="32"/>
  <c r="E99" i="34"/>
  <c r="E100" i="35"/>
  <c r="E99" i="32"/>
  <c r="E54" i="18"/>
  <c r="E115" i="32"/>
  <c r="E38" i="18"/>
  <c r="E103" i="35"/>
  <c r="E102" i="34"/>
  <c r="E109" i="34"/>
  <c r="E109" i="32"/>
  <c r="E110" i="35"/>
  <c r="C44" i="34"/>
  <c r="F28" i="34"/>
  <c r="O10" i="35"/>
  <c r="C45" i="35"/>
  <c r="C39" i="34"/>
  <c r="C40" i="35"/>
  <c r="E74" i="35"/>
  <c r="C74" i="35"/>
  <c r="C73" i="34"/>
  <c r="C73" i="32"/>
  <c r="K6" i="35"/>
  <c r="G51" i="34" s="1"/>
  <c r="E73" i="32"/>
  <c r="E73" i="34"/>
  <c r="C28" i="34"/>
  <c r="B57" i="8"/>
  <c r="J4" i="35" s="1"/>
  <c r="J6" i="35" s="1"/>
  <c r="C28" i="32"/>
  <c r="C29" i="35"/>
  <c r="C34" i="34"/>
  <c r="C50" i="34" s="1"/>
  <c r="C34" i="32"/>
  <c r="C50" i="32" s="1"/>
  <c r="C35" i="35"/>
  <c r="G28" i="34"/>
  <c r="E165" i="32"/>
  <c r="C154" i="34"/>
  <c r="C160" i="35"/>
  <c r="B37" i="19"/>
  <c r="C144" i="35" s="1"/>
  <c r="C149" i="32"/>
  <c r="M6" i="35" l="1"/>
  <c r="G97" i="34" s="1"/>
  <c r="E119" i="34"/>
  <c r="E119" i="32"/>
  <c r="E120" i="35"/>
  <c r="C51" i="35"/>
  <c r="C143" i="34"/>
  <c r="C150" i="35"/>
  <c r="C149" i="34"/>
  <c r="C155" i="35"/>
  <c r="C143" i="32"/>
  <c r="C154" i="32"/>
  <c r="C159" i="32"/>
  <c r="C159" i="34"/>
  <c r="B59" i="19"/>
  <c r="O4" i="35" s="1"/>
  <c r="C166" i="35" l="1"/>
  <c r="O6" i="35"/>
  <c r="C165" i="32"/>
  <c r="C165" i="34"/>
  <c r="G143" i="34" l="1"/>
  <c r="D50" i="8"/>
  <c r="E44" i="35" s="1"/>
  <c r="D55" i="8"/>
  <c r="E48" i="32" s="1"/>
  <c r="K25" i="32" s="1"/>
  <c r="D48" i="8"/>
  <c r="E41" i="32" s="1"/>
  <c r="K18" i="32" s="1"/>
  <c r="D35" i="8"/>
  <c r="D38" i="8"/>
  <c r="E32" i="35" s="1"/>
  <c r="D44" i="8"/>
  <c r="E37" i="34" s="1"/>
  <c r="D37" i="8"/>
  <c r="E30" i="34" s="1"/>
  <c r="D43" i="8"/>
  <c r="E36" i="32" s="1"/>
  <c r="K13" i="32" s="1"/>
  <c r="D39" i="8"/>
  <c r="E32" i="34" s="1"/>
  <c r="D51" i="8"/>
  <c r="D42" i="8"/>
  <c r="E36" i="35" s="1"/>
  <c r="D49" i="8"/>
  <c r="E42" i="34" s="1"/>
  <c r="D53" i="8"/>
  <c r="E47" i="35" s="1"/>
  <c r="D47" i="8"/>
  <c r="E41" i="35" s="1"/>
  <c r="D45" i="8"/>
  <c r="E38" i="32" s="1"/>
  <c r="K15" i="32" s="1"/>
  <c r="D56" i="8"/>
  <c r="E49" i="34" s="1"/>
  <c r="D52" i="8"/>
  <c r="E45" i="32" s="1"/>
  <c r="K22" i="32" s="1"/>
  <c r="D54" i="8"/>
  <c r="E47" i="34" s="1"/>
  <c r="D36" i="8"/>
  <c r="E30" i="35" s="1"/>
  <c r="D41" i="8"/>
  <c r="D46" i="8"/>
  <c r="D40" i="8"/>
  <c r="E33" i="34" s="1"/>
  <c r="E28" i="32" l="1"/>
  <c r="E35" i="8"/>
  <c r="E41" i="34"/>
  <c r="E45" i="34"/>
  <c r="E34" i="32"/>
  <c r="K11" i="32" s="1"/>
  <c r="E41" i="8"/>
  <c r="E42" i="35"/>
  <c r="E45" i="35"/>
  <c r="E51" i="8"/>
  <c r="E40" i="35"/>
  <c r="E46" i="8"/>
  <c r="E39" i="32"/>
  <c r="K16" i="32" s="1"/>
  <c r="E43" i="34"/>
  <c r="E44" i="34"/>
  <c r="E49" i="32"/>
  <c r="K26" i="32" s="1"/>
  <c r="E32" i="32"/>
  <c r="K9" i="32" s="1"/>
  <c r="E29" i="35"/>
  <c r="E46" i="34"/>
  <c r="E46" i="35"/>
  <c r="E42" i="32"/>
  <c r="K19" i="32" s="1"/>
  <c r="E37" i="32"/>
  <c r="K14" i="32" s="1"/>
  <c r="E43" i="35"/>
  <c r="E43" i="32"/>
  <c r="K20" i="32" s="1"/>
  <c r="E50" i="35"/>
  <c r="E31" i="34"/>
  <c r="E28" i="34"/>
  <c r="E48" i="34"/>
  <c r="E34" i="34"/>
  <c r="E37" i="35"/>
  <c r="E44" i="32"/>
  <c r="K21" i="32" s="1"/>
  <c r="E35" i="35"/>
  <c r="K5" i="32"/>
  <c r="E30" i="32"/>
  <c r="K7" i="32" s="1"/>
  <c r="D57" i="8"/>
  <c r="E33" i="32"/>
  <c r="K10" i="32" s="1"/>
  <c r="E49" i="35"/>
  <c r="E47" i="32"/>
  <c r="K24" i="32" s="1"/>
  <c r="E48" i="35"/>
  <c r="E40" i="34"/>
  <c r="E38" i="35"/>
  <c r="E39" i="34"/>
  <c r="E40" i="32"/>
  <c r="K17" i="32" s="1"/>
  <c r="E31" i="32"/>
  <c r="K8" i="32" s="1"/>
  <c r="E33" i="35"/>
  <c r="E39" i="35"/>
  <c r="E36" i="34"/>
  <c r="E31" i="35"/>
  <c r="E38" i="34"/>
  <c r="E35" i="34"/>
  <c r="E29" i="34"/>
  <c r="E46" i="32"/>
  <c r="K23" i="32" s="1"/>
  <c r="E34" i="35"/>
  <c r="E29" i="32"/>
  <c r="K6" i="32" s="1"/>
  <c r="E35" i="32"/>
  <c r="K12" i="32" s="1"/>
  <c r="E51" i="35" l="1"/>
  <c r="E50" i="34"/>
  <c r="K27" i="32"/>
  <c r="E50" i="32"/>
  <c r="B49" i="27"/>
  <c r="C131" i="34" s="1"/>
  <c r="B54" i="27"/>
  <c r="C137" i="35" s="1"/>
  <c r="B38" i="27"/>
  <c r="C120" i="34" s="1"/>
  <c r="B44" i="27"/>
  <c r="C126" i="34" s="1"/>
  <c r="E38" i="27" l="1"/>
  <c r="C136" i="32"/>
  <c r="I21" i="32" s="1"/>
  <c r="L21" i="32" s="1"/>
  <c r="C131" i="32"/>
  <c r="I16" i="32" s="1"/>
  <c r="L16" i="32" s="1"/>
  <c r="C132" i="35"/>
  <c r="E49" i="27"/>
  <c r="C126" i="32"/>
  <c r="I11" i="32" s="1"/>
  <c r="L11" i="32" s="1"/>
  <c r="C120" i="32"/>
  <c r="C121" i="35"/>
  <c r="B60" i="27"/>
  <c r="N4" i="35" s="1"/>
  <c r="C136" i="34"/>
  <c r="C142" i="34" s="1"/>
  <c r="C127" i="35"/>
  <c r="E54" i="27"/>
  <c r="E44" i="27"/>
  <c r="C143" i="35" l="1"/>
  <c r="N6" i="35"/>
  <c r="J7" i="35"/>
  <c r="C142" i="32"/>
  <c r="I5" i="32"/>
  <c r="I27" i="32" l="1"/>
  <c r="L5" i="32"/>
  <c r="G120" i="34"/>
  <c r="O7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92B03F00-8FF1-489F-99F0-F46C966FF8D2}">
      <text>
        <r>
          <rPr>
            <b/>
            <sz val="9"/>
            <color indexed="81"/>
            <rFont val="돋움"/>
            <family val="3"/>
            <charset val="129"/>
          </rPr>
          <t>추진완료
추진중
추진불가
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</t>
        </r>
        <r>
          <rPr>
            <b/>
            <sz val="9"/>
            <color indexed="81"/>
            <rFont val="Tahoma"/>
            <family val="2"/>
          </rPr>
          <t>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8C081A7E-8E53-4F94-ABAC-4A5A659D2311}">
      <text>
        <r>
          <rPr>
            <b/>
            <sz val="9"/>
            <color indexed="81"/>
            <rFont val="돋움"/>
            <family val="3"/>
            <charset val="129"/>
          </rPr>
          <t>추진완료
추진중
추진불가
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</t>
        </r>
        <r>
          <rPr>
            <b/>
            <sz val="9"/>
            <color indexed="81"/>
            <rFont val="Tahoma"/>
            <family val="2"/>
          </rPr>
          <t>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8EFDF5D0-E766-438B-A317-AC5DD001A579}">
      <text>
        <r>
          <rPr>
            <b/>
            <sz val="9"/>
            <color indexed="81"/>
            <rFont val="돋움"/>
            <family val="3"/>
            <charset val="129"/>
          </rPr>
          <t>추진완료
추진중
추진불가
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</t>
        </r>
        <r>
          <rPr>
            <b/>
            <sz val="9"/>
            <color indexed="81"/>
            <rFont val="Tahoma"/>
            <family val="2"/>
          </rPr>
          <t>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5" authorId="0" shapeId="0" xr:uid="{DB3861F6-AAC9-4E1F-80ED-66FF9E0FA680}">
      <text>
        <r>
          <rPr>
            <b/>
            <sz val="9"/>
            <color indexed="81"/>
            <rFont val="돋움"/>
            <family val="3"/>
            <charset val="129"/>
          </rPr>
          <t>추진완료
추진중
추진불가
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</t>
        </r>
        <r>
          <rPr>
            <b/>
            <sz val="9"/>
            <color indexed="81"/>
            <rFont val="Tahoma"/>
            <family val="2"/>
          </rPr>
          <t>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9123C863-62F5-40E9-99F3-2EA7EF0154DB}">
      <text>
        <r>
          <rPr>
            <b/>
            <sz val="9"/>
            <color indexed="81"/>
            <rFont val="돋움"/>
            <family val="3"/>
            <charset val="129"/>
          </rPr>
          <t>추진완료
추진중
추진불가
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</t>
        </r>
        <r>
          <rPr>
            <b/>
            <sz val="9"/>
            <color indexed="81"/>
            <rFont val="Tahoma"/>
            <family val="2"/>
          </rPr>
          <t>1</t>
        </r>
      </text>
    </comment>
  </commentList>
</comments>
</file>

<file path=xl/sharedStrings.xml><?xml version="1.0" encoding="utf-8"?>
<sst xmlns="http://schemas.openxmlformats.org/spreadsheetml/2006/main" count="1911" uniqueCount="502">
  <si>
    <t>경영목표</t>
    <phoneticPr fontId="1" type="noConversion"/>
  </si>
  <si>
    <t>추진과제</t>
    <phoneticPr fontId="1" type="noConversion"/>
  </si>
  <si>
    <t>3</t>
  </si>
  <si>
    <t>4</t>
  </si>
  <si>
    <t>5</t>
  </si>
  <si>
    <t>6</t>
  </si>
  <si>
    <t>7</t>
  </si>
  <si>
    <t>8</t>
  </si>
  <si>
    <t>9</t>
  </si>
  <si>
    <t>11</t>
  </si>
  <si>
    <t>12</t>
  </si>
  <si>
    <t>사업
구분</t>
    <phoneticPr fontId="1" type="noConversion"/>
  </si>
  <si>
    <t>이행현황(%)</t>
    <phoneticPr fontId="1" type="noConversion"/>
  </si>
  <si>
    <t>전략과제</t>
    <phoneticPr fontId="1" type="noConversion"/>
  </si>
  <si>
    <t>1</t>
    <phoneticPr fontId="1" type="noConversion"/>
  </si>
  <si>
    <t>연번</t>
    <phoneticPr fontId="1" type="noConversion"/>
  </si>
  <si>
    <t>배점</t>
    <phoneticPr fontId="1" type="noConversion"/>
  </si>
  <si>
    <t>문서번호</t>
    <phoneticPr fontId="1" type="noConversion"/>
  </si>
  <si>
    <t>추진내용</t>
    <phoneticPr fontId="1" type="noConversion"/>
  </si>
  <si>
    <t>비  고</t>
    <phoneticPr fontId="1" type="noConversion"/>
  </si>
  <si>
    <t>2</t>
  </si>
  <si>
    <t>추진일</t>
    <phoneticPr fontId="1" type="noConversion"/>
  </si>
  <si>
    <t>10</t>
  </si>
  <si>
    <t>15</t>
  </si>
  <si>
    <t>14</t>
  </si>
  <si>
    <t>13</t>
  </si>
  <si>
    <t>22</t>
  </si>
  <si>
    <t>21</t>
  </si>
  <si>
    <t>20</t>
  </si>
  <si>
    <t>19</t>
  </si>
  <si>
    <t>18</t>
  </si>
  <si>
    <t>17</t>
  </si>
  <si>
    <t>16</t>
  </si>
  <si>
    <t>6</t>
    <phoneticPr fontId="1" type="noConversion"/>
  </si>
  <si>
    <t>5</t>
    <phoneticPr fontId="1" type="noConversion"/>
  </si>
  <si>
    <t>4</t>
    <phoneticPr fontId="1" type="noConversion"/>
  </si>
  <si>
    <t>3</t>
    <phoneticPr fontId="1" type="noConversion"/>
  </si>
  <si>
    <t>2</t>
    <phoneticPr fontId="1" type="noConversion"/>
  </si>
  <si>
    <t>지속</t>
  </si>
  <si>
    <t>신규</t>
  </si>
  <si>
    <t>사회형평적 인재 채용으로 취업 소외계층 일자리 창출</t>
  </si>
  <si>
    <t>근태 시스템 안정화를 통한 통한 급여의 고도화</t>
  </si>
  <si>
    <t>효율적인 급·상여 관리를 위한 급여 및 수당 테이블 설정</t>
  </si>
  <si>
    <t>인사 관련 공단 제 규정 정비 추진</t>
  </si>
  <si>
    <t>직무중심 역량 강화 교육훈련 운영</t>
  </si>
  <si>
    <t>유휴자금 운용 다각화로 수익률 개선</t>
  </si>
  <si>
    <t>총점</t>
    <phoneticPr fontId="1" type="noConversion"/>
  </si>
  <si>
    <t>점수</t>
    <phoneticPr fontId="1" type="noConversion"/>
  </si>
  <si>
    <t>환산점수(100점만점)</t>
    <phoneticPr fontId="1" type="noConversion"/>
  </si>
  <si>
    <t>올바른 주차질서 확립을 위한 교통안전 캠페인 추진</t>
  </si>
  <si>
    <t>공영주차장 이용객 무상 차량정비 서비스 제공</t>
  </si>
  <si>
    <t>불법광고물 단속 및 근절 캠페인 실시</t>
  </si>
  <si>
    <t>독거노인 식생활 건강지원 요리교실</t>
  </si>
  <si>
    <t>이용자 편의 및 안전을 위한 시설관리</t>
  </si>
  <si>
    <t>안전관리자·보건관리자 채용으로 전문인력 확대</t>
  </si>
  <si>
    <t>FMS시스템 도입을 위한 공단 자산 파악</t>
  </si>
  <si>
    <t>옥외광고시설물 활용, 지역사회공헌 활동 강화</t>
  </si>
  <si>
    <t>일일수거제 지속 관리·운영으로 미수거 민원 최소화</t>
  </si>
  <si>
    <t>기후위기대응을 위한 시민참여 프로그램 추진</t>
  </si>
  <si>
    <t>추진중</t>
    <phoneticPr fontId="1" type="noConversion"/>
  </si>
  <si>
    <t>추진완료</t>
    <phoneticPr fontId="1" type="noConversion"/>
  </si>
  <si>
    <t xml:space="preserve"> </t>
    <phoneticPr fontId="1" type="noConversion"/>
  </si>
  <si>
    <t>부서</t>
  </si>
  <si>
    <t>경영목표</t>
  </si>
  <si>
    <t>국민의 알권리 보장 및 국민참여 확대를 위한 정보공개</t>
  </si>
  <si>
    <t>통합경영공시 현행화 실시</t>
  </si>
  <si>
    <t>사전정보공표 항목별 현행화 실시</t>
  </si>
  <si>
    <t>예산 집행 투명성 강화</t>
  </si>
  <si>
    <t>계약 투명성 확립을 위한 전자계약 추진</t>
  </si>
  <si>
    <t>직무중심 인사관리 추진 고도화</t>
  </si>
  <si>
    <t>임원추천위원회 구성 및 운영</t>
  </si>
  <si>
    <t>직원 복무 만족도 증진을 위한 복무제도 활성화</t>
  </si>
  <si>
    <t>통합정보시스템(그룹웨어+ERP) 구축</t>
  </si>
  <si>
    <t>지역상생을 위한 우선구매 실적 달성 추진</t>
  </si>
  <si>
    <t>공단 청렴경영을 위한 외부이사 참여 이사회 운영</t>
  </si>
  <si>
    <t>“경영평가 우수등급” 달성을 위한 정량지표 중점관리</t>
  </si>
  <si>
    <t>지역경제 활력 제고를 위한 사회적 역할 적극적 역할 강화</t>
  </si>
  <si>
    <t>경영 리더십 강화를 위한 미래혁신위원회 운영</t>
  </si>
  <si>
    <t>독서경영 우수 직장 인증 추진</t>
  </si>
  <si>
    <t>직원 소통 강화를 통한 직장문화 개선</t>
  </si>
  <si>
    <t>노사·노노간 상생문화 구축을 위한 공단 규정 개정</t>
  </si>
  <si>
    <t>경영평가 “나”등급 이상 달성을 위한 소통채널 관리</t>
  </si>
  <si>
    <t>지역상생·협력 지표 달성을 위한 지역사회공헌인정제 재인증</t>
  </si>
  <si>
    <t>문화체육팀 폭염 및 한파 예방 교육 활동 실시</t>
  </si>
  <si>
    <t>FMS고도화를 통한 시설물의 체계적인 안전·유지관리 실시</t>
  </si>
  <si>
    <t>재난안전관리 예방활동 및 대응능력 강화를 위한 안전교육</t>
  </si>
  <si>
    <t>시민참여 확대를 위한 신규 프로그램(피클볼) 운영</t>
  </si>
  <si>
    <t>첨단다목적체육센터 이용객과의 소통의 시간 운영</t>
  </si>
  <si>
    <t>수완문화체육센터 운영 효율화를 위한 강사간담회 개최</t>
  </si>
  <si>
    <t>수완문화체육센터 회원과 함께 만드는 이용자 간담회 개최</t>
  </si>
  <si>
    <t>수완문화체육센터 강좌실 환경개선</t>
  </si>
  <si>
    <t>빛고을국민체육센터 프로그램 활성화를 위한 강사 간담회</t>
  </si>
  <si>
    <t>이용객과 함께하는 체육시설 환경정비 및 캠페인 실시</t>
  </si>
  <si>
    <t>첨단다목적체육센터 유휴시간 활용 배구 무료프로그램 운영</t>
  </si>
  <si>
    <t>유관기관 협력, 빛고을국민체육센터 무료 체육강좌 운영</t>
  </si>
  <si>
    <t>수완문화체육센터 운영 강좌 연계 문화공연 서비스 추진</t>
  </si>
  <si>
    <t>수완문화체육센터 광산구 체육회 연계 무료 강좌 운영</t>
  </si>
  <si>
    <t>빛고을국민체육센터 무료 안전체험교육 실시</t>
  </si>
  <si>
    <t>외부기관 연계형 시설점검 및 평가위원단 운영</t>
  </si>
  <si>
    <t>문화체육팀 주요성과 우수사례 공유·전파</t>
  </si>
  <si>
    <t>지방소멸 극복을 위한 빛고을센터 한시적 이용료 할인 추진</t>
  </si>
  <si>
    <t>지역사회 공헌을 위한 사회 취약계층 일자리 창출</t>
  </si>
  <si>
    <t>안전하고 신속한 유개승강장 유지관리 체계 구축</t>
  </si>
  <si>
    <t>안전취약계층 안전 보장을 위한 공영주차장 내 방범 활동</t>
  </si>
  <si>
    <t>공영주차장 전기자동차 충전시설 모니터링시스템 구축</t>
  </si>
  <si>
    <t>공영주차장 주차요금 사전무인정산기 확대 구축</t>
  </si>
  <si>
    <t>이기종 무인정산장비 연동을 통한 스마트주차시스템 고도화</t>
  </si>
  <si>
    <t>환경직 직원 복무관리(연차 등)체계 확립</t>
  </si>
  <si>
    <t>노･사 상생을 위한 화합의 장 마련</t>
  </si>
  <si>
    <t>광산구 생활·음식 수거체계 개편 추진</t>
  </si>
  <si>
    <t>노후화 청소차량 감정평가 및 매각 실시</t>
  </si>
  <si>
    <t>생활폐기물 수집·운반 업무 현장 복무점검 강화</t>
  </si>
  <si>
    <t>효율적 운영을 위한 환경직 순환배치 관리·운영</t>
  </si>
  <si>
    <t>시설 환경정비 및 유지보수 시행</t>
  </si>
  <si>
    <t>혹서기, 혹한기 대비 근로자 복리후생 체계 확립</t>
  </si>
  <si>
    <t>“복지에 철학을 담다” 역량강화교육</t>
  </si>
  <si>
    <t>미래혁신경영 종사자 수퍼비전</t>
  </si>
  <si>
    <t>경로식당 위생안전사고 제로 추진</t>
  </si>
  <si>
    <t>디지털 기술(AI)활용 프로그램 운영</t>
  </si>
  <si>
    <t>존엄한 마무리, 아름다운 선택 웰다잉 프로그램</t>
  </si>
  <si>
    <t>맞춤형 여가프로그램 신설</t>
  </si>
  <si>
    <t>건강지원 영양상담교육</t>
  </si>
  <si>
    <t>노인 결식우려예방 경로식당운영</t>
  </si>
  <si>
    <t>은퇴세대 맞춤형 프로그램 “꽃중년 아카데미”</t>
  </si>
  <si>
    <t>세대공감 프로젝트 ‘서로ON(온)’</t>
  </si>
  <si>
    <t>밤에도 열리는 야호마을복지관 ‘밤마실’ 운영</t>
  </si>
  <si>
    <t>기억보감 프로젝트 ‘뇌마음에 보약’</t>
  </si>
  <si>
    <t>지역소멸 극복 테마문화 나들이</t>
  </si>
  <si>
    <t>자원순환 플리마켓 ‘RE:MARKET’</t>
  </si>
  <si>
    <t>지구지킴이가 그린지9 월별 챌린지 실천</t>
  </si>
  <si>
    <t>맞춤형 건강상담서비스 ‘건강톡(talk)’ 추진</t>
  </si>
  <si>
    <t>인권경영시스템 사후관리 운영</t>
  </si>
  <si>
    <t>공단 윤리·인권경영 체계적 관리 실천</t>
  </si>
  <si>
    <t>2026년도 공단 자체감사 운영</t>
  </si>
  <si>
    <t>공공기관 개인정보 관리수준 진단 80점 이상 달성</t>
  </si>
  <si>
    <t>재무구조 개선을 위한 부채비율 감축 계획</t>
  </si>
  <si>
    <t>2026년 “경영평가 우수등급” 달성</t>
  </si>
  <si>
    <t>BSC 성과평가시스템 운영</t>
  </si>
  <si>
    <t>시설관리팀 시설물 유지관리 중장기·단기 계획 수립</t>
  </si>
  <si>
    <t>빛고을국민체육센터 주민의견 반영 확대를 위한 간담회</t>
  </si>
  <si>
    <t>문화체육팀 기동수선반 운영</t>
  </si>
  <si>
    <t>문화체육팀 시설물 이용고객과 함께하는 공익캠페인 활동</t>
  </si>
  <si>
    <t>쾌적하고 안전한 주차 서비스 제공을 위한 전수조사</t>
  </si>
  <si>
    <t>생애주기비용 분석 중심 교통광고시설 관리체계 구축</t>
  </si>
  <si>
    <t>공영주차장 시설물 민원신속처리반 운영</t>
  </si>
  <si>
    <t>환경직 참여형 청소차량 설명회 개최</t>
  </si>
  <si>
    <t>노․사가 함께하는 활기찬 조직문화 조성</t>
  </si>
  <si>
    <t>신바람 행복나루 “동고동락” 프로젝트</t>
  </si>
  <si>
    <t>경영지원팀 2026년 주요업무계획 추진현황 보고</t>
    <phoneticPr fontId="1" type="noConversion"/>
  </si>
  <si>
    <t>소통혁신팀 2026년 주요업무계획 추진현황 보고</t>
    <phoneticPr fontId="1" type="noConversion"/>
  </si>
  <si>
    <r>
      <t>과제수</t>
    </r>
    <r>
      <rPr>
        <b/>
        <sz val="9"/>
        <color rgb="FF000000"/>
        <rFont val="맑은 고딕"/>
        <family val="3"/>
        <charset val="129"/>
      </rPr>
      <t>(A)</t>
    </r>
  </si>
  <si>
    <r>
      <t>완료건</t>
    </r>
    <r>
      <rPr>
        <b/>
        <sz val="9"/>
        <color rgb="FF000000"/>
        <rFont val="맑은 고딕"/>
        <family val="3"/>
        <charset val="129"/>
      </rPr>
      <t>(B)</t>
    </r>
  </si>
  <si>
    <r>
      <t>자체평가</t>
    </r>
    <r>
      <rPr>
        <b/>
        <sz val="9"/>
        <color rgb="FF000000"/>
        <rFont val="맑은 고딕"/>
        <family val="3"/>
        <charset val="129"/>
      </rPr>
      <t>(</t>
    </r>
    <r>
      <rPr>
        <b/>
        <sz val="9"/>
        <color rgb="FF000000"/>
        <rFont val="KoPub돋움체 Light"/>
        <family val="3"/>
        <charset val="129"/>
      </rPr>
      <t>점</t>
    </r>
    <r>
      <rPr>
        <b/>
        <sz val="9"/>
        <color rgb="FF000000"/>
        <rFont val="맑은 고딕"/>
        <family val="3"/>
        <charset val="129"/>
      </rPr>
      <t>)</t>
    </r>
  </si>
  <si>
    <t>경영평가 "나"등급 이상</t>
    <phoneticPr fontId="1" type="noConversion"/>
  </si>
  <si>
    <t>노사화합 청렴도 우수 등급</t>
    <phoneticPr fontId="1" type="noConversion"/>
  </si>
  <si>
    <t>고객만족도 90% 이상</t>
    <phoneticPr fontId="1" type="noConversion"/>
  </si>
  <si>
    <t>안전사고 제로(ZERO)</t>
    <phoneticPr fontId="1" type="noConversion"/>
  </si>
  <si>
    <t>엄정한 지휘체계 확립</t>
    <phoneticPr fontId="1" type="noConversion"/>
  </si>
  <si>
    <t>중장기경영 전략계획 수립</t>
    <phoneticPr fontId="1" type="noConversion"/>
  </si>
  <si>
    <t>건전재정운영 예산집행 투명성</t>
    <phoneticPr fontId="1" type="noConversion"/>
  </si>
  <si>
    <t>독립적 감사 기능 강화</t>
    <phoneticPr fontId="1" type="noConversion"/>
  </si>
  <si>
    <t xml:space="preserve"> 개인정보 보호 관리 철저</t>
  </si>
  <si>
    <t xml:space="preserve"> 지역사회공헌 확대</t>
  </si>
  <si>
    <t xml:space="preserve"> 합리적인 조직관리</t>
  </si>
  <si>
    <t xml:space="preserve"> 합리적 승진 전보제도</t>
  </si>
  <si>
    <t xml:space="preserve"> 노사·노노간 상생문화 구축</t>
  </si>
  <si>
    <t xml:space="preserve"> 환경직 복리후생 점검 및 개선</t>
  </si>
  <si>
    <t xml:space="preserve"> 합리적 보수(임금) 유지</t>
  </si>
  <si>
    <t xml:space="preserve"> 선제적·체계적 시설관리 운영</t>
  </si>
  <si>
    <t xml:space="preserve"> 노후, 낙후 시설보수 정비</t>
  </si>
  <si>
    <t xml:space="preserve"> 「생활쓰레기 일일수거」</t>
  </si>
  <si>
    <t xml:space="preserve"> 산업안전보건시스템 </t>
  </si>
  <si>
    <t xml:space="preserve"> 환경 민원 신속 처리(‘26년 시행)</t>
  </si>
  <si>
    <t xml:space="preserve"> 각종 시설물관리 운영 전문화</t>
  </si>
  <si>
    <t xml:space="preserve"> 원활한 주차장 관리</t>
  </si>
  <si>
    <t xml:space="preserve"> 다양한 시민참여 프로그램 운영</t>
  </si>
  <si>
    <t xml:space="preserve"> 광고수익증대·도시미관 조성</t>
  </si>
  <si>
    <t xml:space="preserve"> 노인일자리 창출 및 확대</t>
  </si>
  <si>
    <t xml:space="preserve"> 「시설물통합정보관리시스템」 구축</t>
    <phoneticPr fontId="1" type="noConversion"/>
  </si>
  <si>
    <t xml:space="preserve"> 환경직근로자 채용 및 복무관리 규정 체계적 정비</t>
  </si>
  <si>
    <t xml:space="preserve"> 법과 원칙이 바로 선 선진 노사관행 및 복무기강 확립</t>
  </si>
  <si>
    <t xml:space="preserve"> 효율적인 급·상여 관리를 위한 급여 및 수당 테이블 설정</t>
  </si>
  <si>
    <t xml:space="preserve"> 환경지원팀 신설에 따른 업무 확정 및 체계화 </t>
  </si>
  <si>
    <t>지속</t>
    <phoneticPr fontId="1" type="noConversion"/>
  </si>
  <si>
    <t xml:space="preserve">환경직 대상 법정교육훈련 운영 </t>
  </si>
  <si>
    <t>환경직 직원 급여 오류집행 제로화 추진</t>
  </si>
  <si>
    <t>경영전략</t>
    <phoneticPr fontId="1" type="noConversion"/>
  </si>
  <si>
    <t>신규</t>
    <phoneticPr fontId="1" type="noConversion"/>
  </si>
  <si>
    <t>지속여부</t>
    <phoneticPr fontId="1" type="noConversion"/>
  </si>
  <si>
    <t>소계</t>
    <phoneticPr fontId="1" type="noConversion"/>
  </si>
  <si>
    <t>경영지원팀</t>
    <phoneticPr fontId="1" type="noConversion"/>
  </si>
  <si>
    <t>소통혁신팀</t>
    <phoneticPr fontId="1" type="noConversion"/>
  </si>
  <si>
    <t>안전감사실</t>
    <phoneticPr fontId="1" type="noConversion"/>
  </si>
  <si>
    <t>문화체육팀</t>
    <phoneticPr fontId="1" type="noConversion"/>
  </si>
  <si>
    <t>교통사업팀</t>
    <phoneticPr fontId="1" type="noConversion"/>
  </si>
  <si>
    <t>환경지원팀</t>
    <phoneticPr fontId="1" type="noConversion"/>
  </si>
  <si>
    <t>환경사업팀</t>
    <phoneticPr fontId="1" type="noConversion"/>
  </si>
  <si>
    <t>행복나루</t>
    <phoneticPr fontId="1" type="noConversion"/>
  </si>
  <si>
    <t>부서별 총괄표</t>
    <phoneticPr fontId="1" type="noConversion"/>
  </si>
  <si>
    <t>부서명</t>
    <phoneticPr fontId="1" type="noConversion"/>
  </si>
  <si>
    <t xml:space="preserve"> 전체 총괄표</t>
    <phoneticPr fontId="1" type="noConversion"/>
  </si>
  <si>
    <t>건 중</t>
    <phoneticPr fontId="1" type="noConversion"/>
  </si>
  <si>
    <t>전 부서 자체 평과 결과 평균</t>
  </si>
  <si>
    <t>과제</t>
    <phoneticPr fontId="1" type="noConversion"/>
  </si>
  <si>
    <t>건 이행  →</t>
    <phoneticPr fontId="1" type="noConversion"/>
  </si>
  <si>
    <t xml:space="preserve">2026년 부서별 주요업무 추진성과 이행률 </t>
    <phoneticPr fontId="1" type="noConversion"/>
  </si>
  <si>
    <t>안전감사실 2026년 주요업무계획 추진현황 보고</t>
    <phoneticPr fontId="1" type="noConversion"/>
  </si>
  <si>
    <t>문화체육팀 2026년 주요업무계획 추진현황 보고</t>
    <phoneticPr fontId="1" type="noConversion"/>
  </si>
  <si>
    <t>교통사업팀 2026년 주요업무계획 추진현황 보고</t>
    <phoneticPr fontId="1" type="noConversion"/>
  </si>
  <si>
    <t>환경사업팀 2026년 주요업무계획 추진현황 보고</t>
    <phoneticPr fontId="1" type="noConversion"/>
  </si>
  <si>
    <t>행복나루노인복지관 2026년 주요업무계획 추진현황 보고</t>
    <phoneticPr fontId="1" type="noConversion"/>
  </si>
  <si>
    <t>이행률</t>
    <phoneticPr fontId="1" type="noConversion"/>
  </si>
  <si>
    <t>점수(점)</t>
    <phoneticPr fontId="1" type="noConversion"/>
  </si>
  <si>
    <t>추진중</t>
    <phoneticPr fontId="1" type="noConversion"/>
  </si>
  <si>
    <t>서희</t>
    <phoneticPr fontId="1" type="noConversion"/>
  </si>
  <si>
    <t>유규태</t>
    <phoneticPr fontId="1" type="noConversion"/>
  </si>
  <si>
    <t>유기림</t>
    <phoneticPr fontId="1" type="noConversion"/>
  </si>
  <si>
    <t>상생의 노사관계 구축을 위한 노사협의체 운영</t>
    <phoneticPr fontId="1" type="noConversion"/>
  </si>
  <si>
    <t>노사협의회 2회 운영, 공단 교섭 20회 시행</t>
    <phoneticPr fontId="1" type="noConversion"/>
  </si>
  <si>
    <t>소통혁신팀-1959 외</t>
    <phoneticPr fontId="1" type="noConversion"/>
  </si>
  <si>
    <t>상시</t>
    <phoneticPr fontId="1" type="noConversion"/>
  </si>
  <si>
    <t>공단 규정 및 내규 일괄개정 완료</t>
    <phoneticPr fontId="1" type="noConversion"/>
  </si>
  <si>
    <t>소통혁신팀-1901
소통혁신팀-1946</t>
    <phoneticPr fontId="1" type="noConversion"/>
  </si>
  <si>
    <t>2026. 6월</t>
    <phoneticPr fontId="1" type="noConversion"/>
  </si>
  <si>
    <t>추진중</t>
  </si>
  <si>
    <t>정보공개 업무 추진 중</t>
  </si>
  <si>
    <t>연중상시</t>
  </si>
  <si>
    <t>항목별 통합경영공시 클린아이 현행화 실시</t>
  </si>
  <si>
    <t>-</t>
  </si>
  <si>
    <t>수시, 분기, 반기, 연간</t>
  </si>
  <si>
    <t>클린아이 연간 경영공시 완료</t>
  </si>
  <si>
    <t>사전공표정보 확인 및 업데이트 실시</t>
  </si>
  <si>
    <t>수시</t>
  </si>
  <si>
    <t>9월 일괄 현행화 예정</t>
  </si>
  <si>
    <t>상시 모니터링 실시, 각 부서 예산회계 집행오류 정정 안내</t>
  </si>
  <si>
    <t>상시</t>
  </si>
  <si>
    <t>중소기업간 경쟁제품 적절성 검토 시행중, 표준화 규정 개정 예정</t>
  </si>
  <si>
    <t xml:space="preserve">경영-905, 1510, 2304, 4327 </t>
  </si>
  <si>
    <t>분기별 등</t>
  </si>
  <si>
    <t>추친중</t>
  </si>
  <si>
    <t>공공구매 실적 관리 중</t>
  </si>
  <si>
    <t>1단계, 2단계 완료 및 3단계 관련 컨설팅 진행중</t>
  </si>
  <si>
    <t>경영-3844</t>
  </si>
  <si>
    <t>직무중심인사관리 적용 관련 부분개정 추진예정</t>
  </si>
  <si>
    <t>소통-2190</t>
  </si>
  <si>
    <t>비상임이사 추천을 위한 임원추천위원회 개최 완료</t>
  </si>
  <si>
    <t>경영-4485</t>
  </si>
  <si>
    <t>유급휴가 사용촉진 1차 완료</t>
  </si>
  <si>
    <t>경영-4301</t>
  </si>
  <si>
    <t>출산휴가, 육아휴직 통합신청제 도입 완료</t>
  </si>
  <si>
    <t>경영-4497</t>
  </si>
  <si>
    <t>구현 가능 여부 확인 중</t>
  </si>
  <si>
    <t>하반기 중 시행 예정</t>
  </si>
  <si>
    <t>공단 임직원 법정교육 및 직무교육 상시 진행</t>
  </si>
  <si>
    <t>경영-1936, 2694</t>
  </si>
  <si>
    <t>2026.3.23.~</t>
  </si>
  <si>
    <t>추진완료</t>
  </si>
  <si>
    <r>
      <t>안전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HY중고딕"/>
        <family val="1"/>
        <charset val="129"/>
      </rPr>
      <t>보건관리자 채용 완료</t>
    </r>
  </si>
  <si>
    <t>경영-43, 1761</t>
  </si>
  <si>
    <t>2026.1.2., '2026.3.13.</t>
  </si>
  <si>
    <t>사회형평적 인재 채용 완료</t>
  </si>
  <si>
    <t>경영-1098, 1318, 3272</t>
  </si>
  <si>
    <t>2026.2.11., '2026.2.24., 2026.5.14.</t>
  </si>
  <si>
    <t>보훈 채용 의무고용비율 6% -&gt; 4% 변경완료 및 고용률 달성 완료
장애인인턴 채용 및 고용률 달성 완료
청년의무고용비율(일반직) 달성 완료</t>
  </si>
  <si>
    <t>경영평가 "나"등급 이상</t>
  </si>
  <si>
    <t>노사화합 청렴도 우수 등급</t>
  </si>
  <si>
    <t>일ㆍ가정 양립을 위한 저출산 극복 제도운영 활성화</t>
  </si>
  <si>
    <t>디지털 행정을 위한 전자이미지 공인 양식 표준화</t>
  </si>
  <si>
    <t>안전사고 제로(ZERO)</t>
  </si>
  <si>
    <t>고객만족도 90% 이상</t>
  </si>
  <si>
    <t>중장기경영 전략계획 수립</t>
  </si>
  <si>
    <t>공단 보수규정 외 제규정 1건 개정(안) 의견 제출
환경직근로자 채용 및 복무관리 규정 개정(안)
환경직 복무관리규정 일부개정 건에 대한 의견청취</t>
  </si>
  <si>
    <t>환경지원팀-201
환경지원팀-491
환경지원팀-1170</t>
  </si>
  <si>
    <t>2026.2.3.'
2026.3.16.
2026.7.10.</t>
  </si>
  <si>
    <t>심진희 / 10점</t>
  </si>
  <si>
    <t>2026년 노동조합 근로시간 면제 신청에 따른 검토 및 회신완료
2026년 4월 7일자 환경사업팀으로 업무이관</t>
  </si>
  <si>
    <t>환경지원팀-4 외 다수</t>
  </si>
  <si>
    <t>2026.1.7.</t>
  </si>
  <si>
    <t>환경직 급여 및 수당 산정자료 사전 정비(안정화) 완료</t>
  </si>
  <si>
    <t>환경지원팀-218 외 다수</t>
  </si>
  <si>
    <t>2026..2.5.</t>
  </si>
  <si>
    <t>정여진 / 10점</t>
  </si>
  <si>
    <t xml:space="preserve">징계위원회 체계적립 완료(2026.8월 징계위원회 개최예정)
통상임금 반영완료(변경 시 즉시 조치예정)
내부평가급 개선 검토(안) 미수립(2026.8월 수립예정)
호봉재획정 신청 6건 검토완료 및 계획 수립 완료(2026.8월 위원회 개최 예정) </t>
  </si>
  <si>
    <t>환경지원팀-1170</t>
  </si>
  <si>
    <t>2026.7.10.</t>
  </si>
  <si>
    <t>김일천 / 30점</t>
  </si>
  <si>
    <t>상반기 산업안전보건교육 및 법정교육 추진완료
2026년 하반기 정기 산업안전보건교육 계획수립 완료</t>
  </si>
  <si>
    <t>환경직원팀-1155</t>
  </si>
  <si>
    <t>2026.7.08.</t>
  </si>
  <si>
    <t>2026.6.30.기준 급여 오류집행 1건 및 오류조치 완료</t>
  </si>
  <si>
    <t>환경지원팀-278</t>
  </si>
  <si>
    <t>2026.2.11.</t>
  </si>
  <si>
    <t>독립적 감사 기능 강화</t>
  </si>
  <si>
    <t>한마음행사, 상반기 가족의날,  정년퇴직(상반기) 완료</t>
  </si>
  <si>
    <t>환경지원팀-1096</t>
  </si>
  <si>
    <t>2026.6.30.</t>
  </si>
  <si>
    <t>공단 비전에 따른 문화체육팀 중장기 경영 계획</t>
  </si>
  <si>
    <t>문화체육팀-1003</t>
  </si>
  <si>
    <t>2026.2.10.</t>
  </si>
  <si>
    <t>문화체육팀 여름철 폭엽 대비 안전사고 예방 추진 계획</t>
  </si>
  <si>
    <t>문화체육팀-5217</t>
  </si>
  <si>
    <t>2026.7.24.</t>
  </si>
  <si>
    <t>문화체육팀-1225
문화체육팀-1840
문화체육팀-2619
문화체육팀-3385
문화체육팀-4512
문화체육팀-5167</t>
  </si>
  <si>
    <t>2026.2.23.
2026.3.17.
2026.4.15.
2026.5.15.
2026.6.30.
2026.7.23.</t>
  </si>
  <si>
    <t>빛고을국민체육센터 기계설비 성능점검 실시 결과보고</t>
  </si>
  <si>
    <t>문화체육팀-5082</t>
  </si>
  <si>
    <t>2026.7.20.</t>
  </si>
  <si>
    <t>첨단다목적체육센터 피클볼 무료강습 운영</t>
  </si>
  <si>
    <t>문화체육팀-2267</t>
  </si>
  <si>
    <t>2026.4.1.</t>
  </si>
  <si>
    <t>첨단다목적체육센터 고객만족도 조사 및 프로그램 강사 만족도 조사 계획</t>
  </si>
  <si>
    <t>문화체육팀-5204</t>
  </si>
  <si>
    <t>수완문화체육센터 고객만족도 조사 및 프로그램 강사 만족도 조사 계획</t>
  </si>
  <si>
    <t>문화체육팀-4885</t>
  </si>
  <si>
    <t>2026.7.13.</t>
  </si>
  <si>
    <t>빛고을 관리 운영 변경 이용객 간담회, 배드민턴 간담회</t>
  </si>
  <si>
    <t>문화체육팀-2857 
문화체육팀-3031</t>
  </si>
  <si>
    <t>2026.4.23.
2026.4.30.</t>
  </si>
  <si>
    <t>광산구체육회 생활체육지도자 현장활동 체육시설 이용에 따른 업무 협조 요청</t>
  </si>
  <si>
    <t>문화체육팀-262</t>
  </si>
  <si>
    <t>2026.1.13.</t>
  </si>
  <si>
    <t>수영 무료프로그램 운영계획(안)</t>
  </si>
  <si>
    <t>문화체육팀-267</t>
  </si>
  <si>
    <t>테마가 있는 문화나들이 1회추진</t>
  </si>
  <si>
    <t>노인복자관-2286, 2616</t>
  </si>
  <si>
    <t>2026. 6. 11.</t>
  </si>
  <si>
    <t>10월 추진 예정</t>
  </si>
  <si>
    <t>3~7월</t>
  </si>
  <si>
    <t>친환경리필스테이션, 페트병 분리배출, 지구의날캠페인, 비건day, 에너지절약캠페인, 세계물의날 하수처리장 견학, 카페라떼클럽 등 지속</t>
  </si>
  <si>
    <t>노인복지관-1089, 1428, 1734, 1981, 3091</t>
  </si>
  <si>
    <t>1~6월</t>
  </si>
  <si>
    <t>지역밀착형 찾아가는 마을복지관 건강상담 추진</t>
  </si>
  <si>
    <t>노인복지관-2638, 3029, 3288</t>
  </si>
  <si>
    <t>6~7월</t>
  </si>
  <si>
    <t>복지에 철학을 담다 독서토론, 시청각 교육</t>
  </si>
  <si>
    <t>노인복지관-1402, 2655</t>
  </si>
  <si>
    <t>2026. 03. 25.
2026. 05. 29.</t>
  </si>
  <si>
    <t>1분기 직원수퍼비전 추진결과보고</t>
  </si>
  <si>
    <t>노인복지관-2054</t>
  </si>
  <si>
    <t>2026. 05. 12.</t>
  </si>
  <si>
    <t>직원대상 동고동락 2회 추진, 선진지견학 2회</t>
  </si>
  <si>
    <t xml:space="preserve">노인복지관-1831, 3193, </t>
  </si>
  <si>
    <t>2026. 04. 28.</t>
  </si>
  <si>
    <t xml:space="preserve">안전사고 미발생 </t>
  </si>
  <si>
    <t>해당없음</t>
  </si>
  <si>
    <t xml:space="preserve"> '찾아가는 스마트교육 에듀버스', 스마트폰 생활반 운영</t>
  </si>
  <si>
    <t>노인복지관-2677, 1892</t>
  </si>
  <si>
    <t>2026. 06. 17.
2026. 05. 04.</t>
  </si>
  <si>
    <t>추진예정</t>
  </si>
  <si>
    <t>사전연명의료의향서 283건 등록</t>
  </si>
  <si>
    <t>2026년 노년사회화교육 프로그램 신설- 크로스핏, 생활영어 회화, 합창, '삼색 꽃 매듭(사진)</t>
  </si>
  <si>
    <t>노인복지관-5762,2324, 3218</t>
  </si>
  <si>
    <t>2025. 12. 19.
2026. 05. 28.
2026. 07. 16.</t>
  </si>
  <si>
    <t>홀몸남성 이용자 식사 자립 이웃 나눔 프로젝트-'요리조리 맨(MAN)드러'</t>
  </si>
  <si>
    <t>노인복지관-1763</t>
  </si>
  <si>
    <t>2026. 04. 27.</t>
  </si>
  <si>
    <t>2026년 찾아가는 마을 복지관 영양상담</t>
  </si>
  <si>
    <t>노인복지관-2498</t>
  </si>
  <si>
    <t>2026. 06. 09.</t>
  </si>
  <si>
    <t>결식우려 예방 및 균형잡힌 식단 제공을 위한 6월 사랑의 식당 운영 결과보고</t>
  </si>
  <si>
    <t>노인복지관-2952</t>
  </si>
  <si>
    <t>2026.07.01.</t>
  </si>
  <si>
    <t>1, 2분기 시설안전점검 실시</t>
  </si>
  <si>
    <t>노인복지관-1987, 2755</t>
  </si>
  <si>
    <t>2026. 05. 07.
2026. 06. 18.</t>
  </si>
  <si>
    <t>정신건강선별 검사 및 상담 심리정서지원서비스 추진</t>
  </si>
  <si>
    <t>정신선강선별검사 및 상담</t>
  </si>
  <si>
    <t>노인복지관-169, 825, 1265, 1794, 2426</t>
  </si>
  <si>
    <t>3월~7월</t>
  </si>
  <si>
    <t>2026년 상반기 신노년 맞춤프로그램'꽃중년아카데미'운영 결과보고</t>
  </si>
  <si>
    <t>노인복지관-2187</t>
  </si>
  <si>
    <t>2026. 05. 20.</t>
  </si>
  <si>
    <t>친절문화확산캠페인 및 옛전남도청전시관 탐방, 디지털 세대공감 함께이음 ai교실</t>
  </si>
  <si>
    <t>노인복지관-1581, 2236, 2648</t>
  </si>
  <si>
    <t>야간마을복지관 운영, 탁구, 헬스, 밤마실요가, 밤마실라인댄스 운영</t>
  </si>
  <si>
    <t>노인복지관-536, 892, 1812, 1969, 2855, 3033</t>
  </si>
  <si>
    <t>2월~7월</t>
  </si>
  <si>
    <t>치매예방을 위한 뇌반짝교실 추진</t>
  </si>
  <si>
    <t>노인복지관-700, 1264, 2063, 2579, 3018</t>
  </si>
  <si>
    <t>1</t>
    <phoneticPr fontId="1" type="noConversion"/>
  </si>
  <si>
    <t>종량제봉투 및 음식물류 납부필증 판매 전수조사</t>
    <phoneticPr fontId="1" type="noConversion"/>
  </si>
  <si>
    <t>생활폐기물 적정배출 공익캠페인 활동</t>
    <phoneticPr fontId="1" type="noConversion"/>
  </si>
  <si>
    <t>환경사업팀 차량 및 인력 데이터베이스 시스템 구축</t>
    <phoneticPr fontId="1" type="noConversion"/>
  </si>
  <si>
    <t>2026년 월간 노사 "톡톡(Talk Talk)" 화합의 날 운영</t>
    <phoneticPr fontId="1" type="noConversion"/>
  </si>
  <si>
    <t>환경사업팀-620
환경사업팀-1087
환경사업팀-1849
환경사업팀-2748</t>
    <phoneticPr fontId="1" type="noConversion"/>
  </si>
  <si>
    <t>2026.2.6.
2026.3.9.
2026.4.17.
2026.6.12.</t>
    <phoneticPr fontId="1" type="noConversion"/>
  </si>
  <si>
    <t>2026년 2월, 3월, 4월, 6월 노사톡톡 화합의 날 운영</t>
    <phoneticPr fontId="1" type="noConversion"/>
  </si>
  <si>
    <t>2026년 신규 청소차량 구입 관련 설명회 진행</t>
    <phoneticPr fontId="1" type="noConversion"/>
  </si>
  <si>
    <t>환경사업팀-325</t>
    <phoneticPr fontId="1" type="noConversion"/>
  </si>
  <si>
    <t>2026.1.20.</t>
    <phoneticPr fontId="1" type="noConversion"/>
  </si>
  <si>
    <t>신규 청소차량 구입 관련 설명회 실시</t>
    <phoneticPr fontId="1" type="noConversion"/>
  </si>
  <si>
    <t>불용결정 대상 청소차량 7대 감정평가 실시 및 매각 진행</t>
    <phoneticPr fontId="1" type="noConversion"/>
  </si>
  <si>
    <t>환경사업팀-2134
환경사업팀-2872</t>
    <phoneticPr fontId="1" type="noConversion"/>
  </si>
  <si>
    <t>2026.4.27.
2026.6.22.</t>
    <phoneticPr fontId="1" type="noConversion"/>
  </si>
  <si>
    <t>매각대금 납부</t>
    <phoneticPr fontId="1" type="noConversion"/>
  </si>
  <si>
    <t>생활환경종합센터 보일러실 전기온수기 수선
생활환경종합센터 내 예초작업
생활환경종합센터 회의실 방음벽 설치</t>
    <phoneticPr fontId="1" type="noConversion"/>
  </si>
  <si>
    <t>환경사업팀-1323
환경사업팀-2793
환경사업팀-3078</t>
    <phoneticPr fontId="1" type="noConversion"/>
  </si>
  <si>
    <t>2026.3.23.
2026.6.6.
2026.7.2.</t>
    <phoneticPr fontId="1" type="noConversion"/>
  </si>
  <si>
    <t>생활환경종합센터 보일러실 전기온수기 구매
생활환경종합센터 내 주차장 주변 예초
생활환경종합센터 내 회의실 방음벽 설치</t>
    <phoneticPr fontId="1" type="noConversion"/>
  </si>
  <si>
    <t>한랭질환 및 온열질환 예방용품 구입
온열질환 예방을 위한 상생과 화합의 행복 행사 실시</t>
    <phoneticPr fontId="1" type="noConversion"/>
  </si>
  <si>
    <t>환경사업팀-94
환경사업팀-498
환경사업팀-553
환경사업팀-3019
환경사업팀-3051</t>
    <phoneticPr fontId="1" type="noConversion"/>
  </si>
  <si>
    <t>2026.1.8.
2026.1.30.
2026.2.3.
2026.6.30.
2026.7.1.</t>
    <phoneticPr fontId="1" type="noConversion"/>
  </si>
  <si>
    <t>환경직 휴대용 모래주머니 구입
'환경직 방한장갑 구입
물끓이기 구입
온열질환 예방용품(팔토시) 구입
냉음료 및 아이스크림 제공</t>
    <phoneticPr fontId="1" type="noConversion"/>
  </si>
  <si>
    <r>
      <t>환경사업팀 현장지도</t>
    </r>
    <r>
      <rPr>
        <sz val="11"/>
        <color rgb="FF000000"/>
        <rFont val="Calibri"/>
        <family val="1"/>
      </rPr>
      <t>·</t>
    </r>
    <r>
      <rPr>
        <sz val="11"/>
        <color rgb="FF000000"/>
        <rFont val="HY중고딕"/>
        <family val="1"/>
        <charset val="129"/>
      </rPr>
      <t>점검 실시</t>
    </r>
    <phoneticPr fontId="1" type="noConversion"/>
  </si>
  <si>
    <t>환경사업팀-928
환경사업팀-1179
환경사업팀-1669
환경사업팀-1837
환경사업팀-1862
환경사업팀-1866
환경사업팀-2025
환경사업팀-2353
환경사업팀-2429
환경사업팀-2606
환경사업팀-2862</t>
    <phoneticPr fontId="1" type="noConversion"/>
  </si>
  <si>
    <t>2026.2.26.
2026.3.14.
2026.4.7.
2026.4.10.
2026.4.14.
2026.4.18.
2026.4.27.
2026.5.19.
2026.5.23.
2026.6.1.
2026.6.20.</t>
    <phoneticPr fontId="1" type="noConversion"/>
  </si>
  <si>
    <r>
      <t>환경사업팀 현장지도</t>
    </r>
    <r>
      <rPr>
        <sz val="11"/>
        <color rgb="FF000000"/>
        <rFont val="Calibri"/>
        <family val="1"/>
      </rPr>
      <t>·</t>
    </r>
    <r>
      <rPr>
        <sz val="11"/>
        <color rgb="FF000000"/>
        <rFont val="HY중고딕"/>
        <family val="1"/>
        <charset val="129"/>
      </rPr>
      <t>점검 실시
생활폐기물 혼합배출 현장 계도 및 적정배출 홍보</t>
    </r>
    <phoneticPr fontId="1" type="noConversion"/>
  </si>
  <si>
    <t>2026년 상반기 환경직(탑승원) 순환배치
2026년 환경직(운전원) 순환배치</t>
    <phoneticPr fontId="1" type="noConversion"/>
  </si>
  <si>
    <t>환경사업팀-1386
환경사업팀-3203</t>
    <phoneticPr fontId="1" type="noConversion"/>
  </si>
  <si>
    <t>2026.3.25.
2026.7.8.</t>
    <phoneticPr fontId="1" type="noConversion"/>
  </si>
  <si>
    <t>탑승원 및 운전원 순환배치 실시</t>
    <phoneticPr fontId="1" type="noConversion"/>
  </si>
  <si>
    <t>시민 참여형 기후적응 정책개발 업무협약 진행</t>
    <phoneticPr fontId="1" type="noConversion"/>
  </si>
  <si>
    <t>환경사업팀-1210</t>
    <phoneticPr fontId="1" type="noConversion"/>
  </si>
  <si>
    <t>2026.3.16.</t>
    <phoneticPr fontId="1" type="noConversion"/>
  </si>
  <si>
    <t>시민참여형 기후적응 리빙랩사업 업무협약 진행</t>
    <phoneticPr fontId="1" type="noConversion"/>
  </si>
  <si>
    <t>평균이행률</t>
    <phoneticPr fontId="1" type="noConversion"/>
  </si>
  <si>
    <t>평균이행률(%)</t>
    <phoneticPr fontId="1" type="noConversion"/>
  </si>
  <si>
    <t>이행완료</t>
    <phoneticPr fontId="1" type="noConversion"/>
  </si>
  <si>
    <t>경영지원팀</t>
    <phoneticPr fontId="1" type="noConversion"/>
  </si>
  <si>
    <t>소통혁신팀</t>
    <phoneticPr fontId="1" type="noConversion"/>
  </si>
  <si>
    <t>문화체육팀</t>
    <phoneticPr fontId="1" type="noConversion"/>
  </si>
  <si>
    <t>행복나루</t>
    <phoneticPr fontId="1" type="noConversion"/>
  </si>
  <si>
    <t>이행</t>
    <phoneticPr fontId="1" type="noConversion"/>
  </si>
  <si>
    <t>자체점수</t>
    <phoneticPr fontId="1" type="noConversion"/>
  </si>
  <si>
    <t>점</t>
    <phoneticPr fontId="1" type="noConversion"/>
  </si>
  <si>
    <t>인권경영시스템 심사 준비중('26.9월 추진)</t>
    <phoneticPr fontId="1" type="noConversion"/>
  </si>
  <si>
    <t>2026년 윤리경영 추진계획
2026년 인권경영 추진계획
2026년 인권경영 실무위원회 운영 계획
2026년 제1회 윤리인권경영위원회 개최('26.8월 추진)
2026년 인권영향평가 추진 준비중('26.10월 추진)</t>
    <phoneticPr fontId="1" type="noConversion"/>
  </si>
  <si>
    <t xml:space="preserve">안전감사실-341
안전감사실-184
안전감사실-827
</t>
    <phoneticPr fontId="1" type="noConversion"/>
  </si>
  <si>
    <t xml:space="preserve">2026.02.02.
2026.01.19.
2026.04.16.
</t>
    <phoneticPr fontId="1" type="noConversion"/>
  </si>
  <si>
    <t>공단 부패방지경영시스템(ISO37001) 사후관리</t>
    <phoneticPr fontId="1" type="noConversion"/>
  </si>
  <si>
    <t>부패방지경영시스템 심사 준비중('26. 9월 추진)</t>
    <phoneticPr fontId="1" type="noConversion"/>
  </si>
  <si>
    <t>2026년 자체감사 추진 계획
2026년 설명절 복무강화 
2026년 종량제봉투 재고관리 실태 확인점검 계획
2026년 음주운전 특정감사
2026년 복무감사반운영(3,4,5,6월)</t>
    <phoneticPr fontId="1" type="noConversion"/>
  </si>
  <si>
    <t>안전감사실-105
안전감사실-351,776
안전감사실-803
안전감사실-1498
안전감사실-797,1245,1247,1431</t>
    <phoneticPr fontId="1" type="noConversion"/>
  </si>
  <si>
    <t xml:space="preserve">2026.01.12.
2026.03.23.
2026.04.15.
2026.07.20.
</t>
    <phoneticPr fontId="1" type="noConversion"/>
  </si>
  <si>
    <t>지속/중점</t>
    <phoneticPr fontId="1" type="noConversion"/>
  </si>
  <si>
    <t>최고경영자의 안전보건활동 참여</t>
    <phoneticPr fontId="1" type="noConversion"/>
  </si>
  <si>
    <t>최고경영자의 안전보건활동 준비중</t>
    <phoneticPr fontId="1" type="noConversion"/>
  </si>
  <si>
    <t>신규/중점</t>
    <phoneticPr fontId="1" type="noConversion"/>
  </si>
  <si>
    <t>안전보건 QR 신고제 운영</t>
    <phoneticPr fontId="1" type="noConversion"/>
  </si>
  <si>
    <t>안전보건 QR 신고제 운영 준비중</t>
    <phoneticPr fontId="1" type="noConversion"/>
  </si>
  <si>
    <t>7</t>
    <phoneticPr fontId="1" type="noConversion"/>
  </si>
  <si>
    <t>비상대응 매뉴얼 구축 및 대응훈련 체계 마련</t>
    <phoneticPr fontId="1" type="noConversion"/>
  </si>
  <si>
    <t>비상대응 매뉴얼 구축 및 대응훈련 체계 준비중</t>
    <phoneticPr fontId="1" type="noConversion"/>
  </si>
  <si>
    <t>추진중</t>
    <phoneticPr fontId="1" type="noConversion"/>
  </si>
  <si>
    <t>추진완료</t>
    <phoneticPr fontId="1" type="noConversion"/>
  </si>
  <si>
    <t>추진증</t>
    <phoneticPr fontId="1" type="noConversion"/>
  </si>
  <si>
    <t>2026년 이사회 5회 개최(7월 기준)</t>
    <phoneticPr fontId="1" type="noConversion"/>
  </si>
  <si>
    <t>2026년도 경영평가  라등급</t>
    <phoneticPr fontId="1" type="noConversion"/>
  </si>
  <si>
    <t>2026년도 경영평가 정량 38.87점</t>
    <phoneticPr fontId="1" type="noConversion"/>
  </si>
  <si>
    <t>독서경영인증 신청서 제출완료</t>
    <phoneticPr fontId="1" type="noConversion"/>
  </si>
  <si>
    <t>상반기 적극집행(신속집행) 목표액 초과 달성</t>
    <phoneticPr fontId="1" type="noConversion"/>
  </si>
  <si>
    <t xml:space="preserve">유휴자금 총 6차 예치 </t>
    <phoneticPr fontId="1" type="noConversion"/>
  </si>
  <si>
    <t>지역사회공헌 인정제</t>
    <phoneticPr fontId="1" type="noConversion"/>
  </si>
  <si>
    <t xml:space="preserve">보도자료 및 홍보자료 20회 이상 배포 </t>
    <phoneticPr fontId="1" type="noConversion"/>
  </si>
  <si>
    <t>상반기 미래혁신위원회 추진완료</t>
    <phoneticPr fontId="1" type="noConversion"/>
  </si>
  <si>
    <t>성과편람(초안) 작성. 노조 및 직원 의견 수렴중</t>
    <phoneticPr fontId="1" type="noConversion"/>
  </si>
  <si>
    <t>탄소중립 실현을 위한 지속가능 친환경 경영 강화</t>
    <phoneticPr fontId="1" type="noConversion"/>
  </si>
  <si>
    <t>유규태</t>
    <phoneticPr fontId="1" type="noConversion"/>
  </si>
  <si>
    <t>이상혁</t>
    <phoneticPr fontId="1" type="noConversion"/>
  </si>
  <si>
    <t>유기림</t>
    <phoneticPr fontId="1" type="noConversion"/>
  </si>
  <si>
    <t>소-2340</t>
    <phoneticPr fontId="1" type="noConversion"/>
  </si>
  <si>
    <t>소-2000</t>
    <phoneticPr fontId="1" type="noConversion"/>
  </si>
  <si>
    <t>소-2401</t>
    <phoneticPr fontId="1" type="noConversion"/>
  </si>
  <si>
    <t>소-2071</t>
    <phoneticPr fontId="1" type="noConversion"/>
  </si>
  <si>
    <t>소-1991</t>
    <phoneticPr fontId="1" type="noConversion"/>
  </si>
  <si>
    <t>소-2477</t>
    <phoneticPr fontId="1" type="noConversion"/>
  </si>
  <si>
    <t>소-1754</t>
    <phoneticPr fontId="1" type="noConversion"/>
  </si>
  <si>
    <t xml:space="preserve">탄소중립 기술지원 사업 추진 </t>
    <phoneticPr fontId="1" type="noConversion"/>
  </si>
  <si>
    <t>서희</t>
    <phoneticPr fontId="1" type="noConversion"/>
  </si>
  <si>
    <t>소-477, 1012,1572,1864,2361</t>
    <phoneticPr fontId="1" type="noConversion"/>
  </si>
  <si>
    <t>이행완료(B/A)</t>
    <phoneticPr fontId="1" type="noConversion"/>
  </si>
  <si>
    <t>지역사회공언 및 공익홍보를 위한 업무협약 현수막 제작
2026년 옥외광고 시설물활용 지역사회 공헌활동(공익활동) 결과보고</t>
    <phoneticPr fontId="1" type="noConversion"/>
  </si>
  <si>
    <t>교통사업팀-353
교통사업팀-1249</t>
    <phoneticPr fontId="1" type="noConversion"/>
  </si>
  <si>
    <t>2026.1.29.
2026.4.16.</t>
    <phoneticPr fontId="1" type="noConversion"/>
  </si>
  <si>
    <t>2026년 상반기 공영주차장(56개소) 전수조사 결과보고
2026년 상반기 전통시장 공영주차장(5개소) 전수조사 결과보고</t>
    <phoneticPr fontId="1" type="noConversion"/>
  </si>
  <si>
    <t>교통사업팀-1963
교통사업팀-1957</t>
    <phoneticPr fontId="1" type="noConversion"/>
  </si>
  <si>
    <t>2026.6.18.
2026.6.18.</t>
    <phoneticPr fontId="1" type="noConversion"/>
  </si>
  <si>
    <t>2026년 교통사업팀 관리운영 종합계획(안)</t>
    <phoneticPr fontId="1" type="noConversion"/>
  </si>
  <si>
    <t>교통사업팀-981</t>
    <phoneticPr fontId="1" type="noConversion"/>
  </si>
  <si>
    <t>2026.3.25.</t>
    <phoneticPr fontId="1" type="noConversion"/>
  </si>
  <si>
    <t>공영주차장 4개소 전기자동차 충전소 모니터링시스템 구축 계획
전통시장공영주차장 전기자동차 충전소 모니터링시스템 구축 계획
전통시장공영주차장 전기자동차 충전소 모니터링시스템 구축 결과보고</t>
    <phoneticPr fontId="1" type="noConversion"/>
  </si>
  <si>
    <t>교통사업팀-92
교통사업팀-101
교통사업팀-180</t>
    <phoneticPr fontId="1" type="noConversion"/>
  </si>
  <si>
    <t>2026.1.12.
2026.1.12.
2026.1.16.</t>
    <phoneticPr fontId="1" type="noConversion"/>
  </si>
  <si>
    <t>2026년 대행사업비 절감을 위한 교통사업팀 기동수선반 활용 계획(안)</t>
    <phoneticPr fontId="1" type="noConversion"/>
  </si>
  <si>
    <t>교통사업팀-90</t>
    <phoneticPr fontId="1" type="noConversion"/>
  </si>
  <si>
    <t>20261.12.</t>
    <phoneticPr fontId="1" type="noConversion"/>
  </si>
  <si>
    <t>공영주차장 스마트주차시스템 고도화 추진 중간보고
공영주차장 스마트주차시스템 고도화 추진사항 요약보고</t>
    <phoneticPr fontId="1" type="noConversion"/>
  </si>
  <si>
    <t>교통사업팀-87
교통사업팀-586</t>
    <phoneticPr fontId="1" type="noConversion"/>
  </si>
  <si>
    <t>2026.1.12.
2026.2.20.</t>
    <phoneticPr fontId="1" type="noConversion"/>
  </si>
  <si>
    <t xml:space="preserve">
＇지역상생 발전과 안전한 교통시설 환경조성을 위한＇우리동네 교통시설 안전 지킴이 업무협약 추진</t>
    <phoneticPr fontId="1" type="noConversion"/>
  </si>
  <si>
    <t>교통사업팀-57</t>
    <phoneticPr fontId="1" type="noConversion"/>
  </si>
  <si>
    <t>2026.1.09</t>
    <phoneticPr fontId="1" type="noConversion"/>
  </si>
  <si>
    <t>2026.1월 ~ 7월</t>
    <phoneticPr fontId="1" type="noConversion"/>
  </si>
  <si>
    <t>2026. 8.</t>
    <phoneticPr fontId="1" type="noConversion"/>
  </si>
  <si>
    <t>2026.8.</t>
    <phoneticPr fontId="1" type="noConversion"/>
  </si>
  <si>
    <t>2026.7.31.</t>
    <phoneticPr fontId="1" type="noConversion"/>
  </si>
  <si>
    <t>2026.6.30.</t>
    <phoneticPr fontId="1" type="noConversion"/>
  </si>
  <si>
    <t>2026.8.6.</t>
    <phoneticPr fontId="1" type="noConversion"/>
  </si>
  <si>
    <t>2026.7.</t>
    <phoneticPr fontId="1" type="noConversion"/>
  </si>
  <si>
    <t>2026.7.2.</t>
    <phoneticPr fontId="1" type="noConversion"/>
  </si>
  <si>
    <t xml:space="preserve"> </t>
    <phoneticPr fontId="1" type="noConversion"/>
  </si>
  <si>
    <t>환경지원팀 2026년 주요업무계획 추진현황 보고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</si>
</sst>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_ "/>
    <numFmt numFmtId="177" formatCode="0_);[Red]\(0\)"/>
    <numFmt numFmtId="178" formatCode="0.00_);[Red]\(0.00\)"/>
    <numFmt numFmtId="179" formatCode="0.00_ "/>
    <numFmt numFmtId="180" formatCode="0.0%"/>
    <numFmt numFmtId="181" formatCode="_-* #,##0.0_-;\-* #,##0.0_-;_-* &quot;-&quot;_-;_-@_-"/>
  </numFmts>
  <fonts count="37">
    <font>
      <sz val="11"/>
      <color rgb="FF000000"/>
      <name val="맑은 고딕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28"/>
      <color rgb="FF000000"/>
      <name val="HY중고딕"/>
      <family val="1"/>
      <charset val="129"/>
    </font>
    <font>
      <sz val="11"/>
      <color rgb="FF000000"/>
      <name val="HY중고딕"/>
      <family val="1"/>
      <charset val="129"/>
    </font>
    <font>
      <sz val="11"/>
      <name val="HY중고딕"/>
      <family val="1"/>
      <charset val="129"/>
    </font>
    <font>
      <b/>
      <sz val="14"/>
      <color rgb="FF000000"/>
      <name val="HY중고딕"/>
      <family val="1"/>
      <charset val="129"/>
    </font>
    <font>
      <sz val="11"/>
      <name val="맑은 고딕"/>
      <family val="3"/>
      <charset val="129"/>
      <scheme val="minor"/>
    </font>
    <font>
      <sz val="10"/>
      <color rgb="FF000000"/>
      <name val="HY중고딕"/>
      <family val="1"/>
      <charset val="129"/>
    </font>
    <font>
      <sz val="11"/>
      <color rgb="FFFF0000"/>
      <name val="HY중고딕"/>
      <family val="1"/>
      <charset val="129"/>
    </font>
    <font>
      <sz val="11"/>
      <color theme="1"/>
      <name val="HY중고딕"/>
      <family val="1"/>
      <charset val="129"/>
    </font>
    <font>
      <sz val="10"/>
      <color theme="1"/>
      <name val="HY중고딕"/>
      <family val="1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rgb="FFFFFFFF"/>
      <name val="KoPub돋움체 Bold"/>
      <family val="3"/>
      <charset val="129"/>
    </font>
    <font>
      <b/>
      <sz val="9"/>
      <color rgb="FF000000"/>
      <name val="KoPub돋움체 Light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KoPub돋움체 Medium"/>
      <family val="3"/>
      <charset val="129"/>
    </font>
    <font>
      <b/>
      <sz val="12"/>
      <color rgb="FF000000"/>
      <name val="KoPub돋움체 Bold"/>
      <family val="3"/>
      <charset val="129"/>
    </font>
    <font>
      <sz val="11"/>
      <color rgb="FF000000"/>
      <name val="KoPub돋움체 Medium"/>
      <family val="3"/>
      <charset val="129"/>
    </font>
    <font>
      <sz val="10"/>
      <color rgb="FF000000"/>
      <name val="KoPub돋움체 Medium"/>
      <family val="3"/>
      <charset val="129"/>
    </font>
    <font>
      <sz val="11"/>
      <color theme="1"/>
      <name val="맑은 고딕"/>
      <family val="3"/>
      <charset val="129"/>
    </font>
    <font>
      <sz val="36"/>
      <color theme="0"/>
      <name val="HY헤드라인M"/>
      <family val="1"/>
      <charset val="129"/>
    </font>
    <font>
      <sz val="24"/>
      <color theme="0"/>
      <name val="HY헤드라인M"/>
      <family val="1"/>
      <charset val="129"/>
    </font>
    <font>
      <b/>
      <sz val="9"/>
      <color rgb="FFFF0000"/>
      <name val="KoPub돋움체 Light"/>
      <family val="3"/>
      <charset val="129"/>
    </font>
    <font>
      <sz val="18"/>
      <color rgb="FF000000"/>
      <name val="KoPub돋움체 Medium"/>
      <family val="3"/>
      <charset val="129"/>
    </font>
    <font>
      <sz val="11"/>
      <color rgb="FF392AFE"/>
      <name val="HY중고딕"/>
      <family val="1"/>
      <charset val="129"/>
    </font>
    <font>
      <sz val="11"/>
      <color rgb="FF392AFE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Calibri"/>
      <family val="1"/>
    </font>
    <font>
      <sz val="11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4"/>
      <color theme="1"/>
      <name val="HY중고딕"/>
      <family val="1"/>
      <charset val="129"/>
    </font>
    <font>
      <sz val="11"/>
      <color rgb="FF00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446">
    <xf numFmtId="0" fontId="0" fillId="0" borderId="0" xfId="0" applyNumberFormat="1">
      <alignment vertical="center"/>
    </xf>
    <xf numFmtId="0" fontId="3" fillId="0" borderId="0" xfId="1" applyNumberFormat="1" applyFont="1">
      <alignment vertical="center"/>
    </xf>
    <xf numFmtId="0" fontId="3" fillId="0" borderId="0" xfId="1" applyNumberFormat="1" applyFont="1" applyAlignment="1">
      <alignment horizontal="center" vertical="center"/>
    </xf>
    <xf numFmtId="0" fontId="3" fillId="0" borderId="0" xfId="1" applyNumberFormat="1" applyFont="1" applyAlignment="1">
      <alignment horizontal="left" vertical="center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Border="1" applyAlignment="1">
      <alignment horizontal="left" vertical="center" wrapText="1"/>
    </xf>
    <xf numFmtId="0" fontId="3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 applyProtection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3" fillId="0" borderId="0" xfId="1" applyNumberFormat="1" applyFont="1" applyFill="1" applyBorder="1" applyAlignment="1" applyProtection="1">
      <alignment vertical="center"/>
    </xf>
    <xf numFmtId="0" fontId="7" fillId="3" borderId="1" xfId="1" applyNumberFormat="1" applyFont="1" applyFill="1" applyBorder="1" applyAlignment="1">
      <alignment horizontal="center" vertical="center" wrapText="1" shrinkToFit="1"/>
    </xf>
    <xf numFmtId="0" fontId="7" fillId="3" borderId="1" xfId="1" applyNumberFormat="1" applyFont="1" applyFill="1" applyBorder="1" applyAlignment="1">
      <alignment horizontal="center" vertical="center" shrinkToFit="1"/>
    </xf>
    <xf numFmtId="0" fontId="7" fillId="3" borderId="1" xfId="1" applyNumberFormat="1" applyFont="1" applyFill="1" applyBorder="1" applyAlignment="1" applyProtection="1">
      <alignment horizontal="center" vertical="center" shrinkToFit="1"/>
    </xf>
    <xf numFmtId="0" fontId="5" fillId="2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/>
    </xf>
    <xf numFmtId="0" fontId="3" fillId="0" borderId="1" xfId="1" applyNumberFormat="1" applyFont="1" applyBorder="1" applyAlignment="1">
      <alignment horizontal="center" vertical="center"/>
    </xf>
    <xf numFmtId="0" fontId="8" fillId="0" borderId="0" xfId="1" applyNumberFormat="1" applyFont="1">
      <alignment vertical="center"/>
    </xf>
    <xf numFmtId="0" fontId="8" fillId="0" borderId="0" xfId="1" applyNumberFormat="1" applyFont="1" applyAlignment="1">
      <alignment horizontal="left" vertical="center"/>
    </xf>
    <xf numFmtId="0" fontId="3" fillId="0" borderId="0" xfId="1" applyNumberFormat="1" applyFont="1" applyFill="1">
      <alignment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left" vertical="center"/>
    </xf>
    <xf numFmtId="0" fontId="5" fillId="0" borderId="1" xfId="1" applyFont="1" applyFill="1" applyBorder="1" applyAlignment="1">
      <alignment horizontal="left" vertical="center" wrapText="1"/>
    </xf>
    <xf numFmtId="0" fontId="7" fillId="3" borderId="1" xfId="1" applyNumberFormat="1" applyFont="1" applyFill="1" applyBorder="1" applyAlignment="1">
      <alignment horizontal="center" vertical="center" shrinkToFit="1"/>
    </xf>
    <xf numFmtId="49" fontId="5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1" applyNumberFormat="1" applyFont="1" applyFill="1" applyBorder="1" applyAlignment="1">
      <alignment horizontal="center" vertical="center" shrinkToFit="1"/>
    </xf>
    <xf numFmtId="0" fontId="2" fillId="0" borderId="1" xfId="0" applyNumberFormat="1" applyFont="1" applyBorder="1" applyAlignment="1">
      <alignment horizontal="center" vertical="center" wrapText="1"/>
    </xf>
    <xf numFmtId="0" fontId="5" fillId="2" borderId="1" xfId="1" applyNumberFormat="1" applyFont="1" applyFill="1" applyBorder="1" applyAlignment="1" applyProtection="1">
      <alignment horizontal="center" vertical="center" wrapText="1"/>
    </xf>
    <xf numFmtId="176" fontId="5" fillId="0" borderId="1" xfId="1" applyNumberFormat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0" fontId="3" fillId="0" borderId="7" xfId="1" applyNumberFormat="1" applyFont="1" applyBorder="1" applyAlignment="1">
      <alignment horizontal="center" vertical="center"/>
    </xf>
    <xf numFmtId="0" fontId="5" fillId="2" borderId="8" xfId="1" quotePrefix="1" applyNumberFormat="1" applyFont="1" applyFill="1" applyBorder="1" applyAlignment="1" applyProtection="1">
      <alignment horizontal="left" vertical="center" wrapText="1"/>
    </xf>
    <xf numFmtId="0" fontId="7" fillId="3" borderId="6" xfId="1" applyNumberFormat="1" applyFont="1" applyFill="1" applyBorder="1" applyAlignment="1">
      <alignment horizontal="center" vertical="center" shrinkToFit="1"/>
    </xf>
    <xf numFmtId="0" fontId="7" fillId="3" borderId="6" xfId="1" applyNumberFormat="1" applyFont="1" applyFill="1" applyBorder="1" applyAlignment="1" applyProtection="1">
      <alignment horizontal="center" vertical="center" shrinkToFit="1"/>
    </xf>
    <xf numFmtId="0" fontId="7" fillId="3" borderId="7" xfId="1" applyNumberFormat="1" applyFont="1" applyFill="1" applyBorder="1" applyAlignment="1" applyProtection="1">
      <alignment horizontal="center" vertical="center" shrinkToFit="1"/>
    </xf>
    <xf numFmtId="0" fontId="2" fillId="0" borderId="7" xfId="0" applyNumberFormat="1" applyFont="1" applyBorder="1" applyAlignment="1">
      <alignment horizontal="center" vertical="center" wrapText="1"/>
    </xf>
    <xf numFmtId="0" fontId="7" fillId="3" borderId="8" xfId="1" applyNumberFormat="1" applyFont="1" applyFill="1" applyBorder="1" applyAlignment="1">
      <alignment horizontal="center" vertical="center" shrinkToFit="1"/>
    </xf>
    <xf numFmtId="0" fontId="5" fillId="2" borderId="8" xfId="1" quotePrefix="1" applyNumberFormat="1" applyFont="1" applyFill="1" applyBorder="1" applyAlignment="1" applyProtection="1">
      <alignment horizontal="center" vertical="center" wrapText="1"/>
    </xf>
    <xf numFmtId="0" fontId="7" fillId="3" borderId="12" xfId="1" applyNumberFormat="1" applyFont="1" applyFill="1" applyBorder="1" applyAlignment="1" applyProtection="1">
      <alignment horizontal="center" vertical="center" shrinkToFit="1"/>
    </xf>
    <xf numFmtId="0" fontId="7" fillId="3" borderId="13" xfId="1" applyNumberFormat="1" applyFont="1" applyFill="1" applyBorder="1" applyAlignment="1">
      <alignment horizontal="center" vertical="center" shrinkToFit="1"/>
    </xf>
    <xf numFmtId="0" fontId="7" fillId="3" borderId="14" xfId="1" applyNumberFormat="1" applyFont="1" applyFill="1" applyBorder="1" applyAlignment="1">
      <alignment horizontal="center" vertical="center" shrinkToFit="1"/>
    </xf>
    <xf numFmtId="0" fontId="6" fillId="2" borderId="15" xfId="1" applyNumberFormat="1" applyFont="1" applyFill="1" applyBorder="1" applyAlignment="1" applyProtection="1">
      <alignment horizontal="center" vertical="center" wrapText="1"/>
    </xf>
    <xf numFmtId="0" fontId="5" fillId="0" borderId="15" xfId="1" applyNumberFormat="1" applyFont="1" applyBorder="1" applyAlignment="1">
      <alignment horizontal="center" vertical="center"/>
    </xf>
    <xf numFmtId="0" fontId="5" fillId="0" borderId="15" xfId="1" quotePrefix="1" applyNumberFormat="1" applyFont="1" applyBorder="1" applyAlignment="1">
      <alignment horizontal="center" vertical="center"/>
    </xf>
    <xf numFmtId="0" fontId="3" fillId="0" borderId="15" xfId="1" applyNumberFormat="1" applyFont="1" applyBorder="1" applyAlignment="1">
      <alignment horizontal="center" vertical="center"/>
    </xf>
    <xf numFmtId="176" fontId="5" fillId="0" borderId="18" xfId="1" applyNumberFormat="1" applyFont="1" applyBorder="1" applyAlignment="1">
      <alignment horizontal="center" vertical="center"/>
    </xf>
    <xf numFmtId="0" fontId="7" fillId="3" borderId="8" xfId="1" applyNumberFormat="1" applyFont="1" applyFill="1" applyBorder="1" applyAlignment="1">
      <alignment horizontal="center" vertical="center" wrapText="1" shrinkToFit="1"/>
    </xf>
    <xf numFmtId="0" fontId="5" fillId="2" borderId="16" xfId="1" quotePrefix="1" applyNumberFormat="1" applyFont="1" applyFill="1" applyBorder="1" applyAlignment="1" applyProtection="1">
      <alignment horizontal="center" vertical="center" wrapText="1"/>
    </xf>
    <xf numFmtId="0" fontId="6" fillId="2" borderId="7" xfId="1" applyNumberFormat="1" applyFont="1" applyFill="1" applyBorder="1" applyAlignment="1" applyProtection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7" xfId="1" quotePrefix="1" applyFont="1" applyFill="1" applyBorder="1" applyAlignment="1">
      <alignment horizontal="center" vertical="center" wrapText="1"/>
    </xf>
    <xf numFmtId="0" fontId="6" fillId="0" borderId="7" xfId="1" applyNumberFormat="1" applyFont="1" applyBorder="1" applyAlignment="1">
      <alignment horizontal="center" vertical="center"/>
    </xf>
    <xf numFmtId="0" fontId="5" fillId="2" borderId="8" xfId="1" applyNumberFormat="1" applyFont="1" applyFill="1" applyBorder="1" applyAlignment="1" applyProtection="1">
      <alignment horizontal="left" vertical="center" wrapText="1"/>
    </xf>
    <xf numFmtId="0" fontId="5" fillId="2" borderId="8" xfId="1" quotePrefix="1" applyFont="1" applyFill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 wrapText="1"/>
    </xf>
    <xf numFmtId="0" fontId="5" fillId="0" borderId="8" xfId="1" applyNumberFormat="1" applyFont="1" applyBorder="1" applyAlignment="1">
      <alignment horizontal="left" vertical="center" wrapText="1"/>
    </xf>
    <xf numFmtId="0" fontId="5" fillId="0" borderId="8" xfId="1" quotePrefix="1" applyNumberFormat="1" applyFont="1" applyBorder="1" applyAlignment="1">
      <alignment horizontal="left" vertical="center" wrapText="1"/>
    </xf>
    <xf numFmtId="0" fontId="3" fillId="0" borderId="8" xfId="1" applyNumberFormat="1" applyFont="1" applyBorder="1">
      <alignment vertical="center"/>
    </xf>
    <xf numFmtId="0" fontId="5" fillId="2" borderId="16" xfId="1" applyNumberFormat="1" applyFont="1" applyFill="1" applyBorder="1" applyAlignment="1" applyProtection="1">
      <alignment horizontal="center" vertical="center" wrapText="1"/>
    </xf>
    <xf numFmtId="0" fontId="5" fillId="2" borderId="16" xfId="1" quotePrefix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0" borderId="16" xfId="1" applyNumberFormat="1" applyFont="1" applyBorder="1" applyAlignment="1">
      <alignment horizontal="center" vertical="center" wrapText="1"/>
    </xf>
    <xf numFmtId="0" fontId="5" fillId="0" borderId="16" xfId="1" applyNumberFormat="1" applyFont="1" applyBorder="1" applyAlignment="1">
      <alignment horizontal="center" vertical="center"/>
    </xf>
    <xf numFmtId="0" fontId="3" fillId="0" borderId="16" xfId="1" applyNumberFormat="1" applyFont="1" applyBorder="1" applyAlignment="1">
      <alignment horizontal="center" vertical="center"/>
    </xf>
    <xf numFmtId="0" fontId="6" fillId="2" borderId="17" xfId="1" applyNumberFormat="1" applyFont="1" applyFill="1" applyBorder="1" applyAlignment="1" applyProtection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quotePrefix="1" applyFont="1" applyFill="1" applyBorder="1" applyAlignment="1">
      <alignment horizontal="center" vertical="center" wrapText="1"/>
    </xf>
    <xf numFmtId="0" fontId="5" fillId="2" borderId="8" xfId="1" applyNumberFormat="1" applyFont="1" applyFill="1" applyBorder="1" applyAlignment="1" applyProtection="1">
      <alignment horizontal="center" vertical="center" wrapText="1"/>
    </xf>
    <xf numFmtId="0" fontId="5" fillId="2" borderId="8" xfId="1" quotePrefix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0" borderId="8" xfId="1" applyNumberFormat="1" applyFont="1" applyBorder="1" applyAlignment="1">
      <alignment horizontal="center" vertical="center" wrapText="1"/>
    </xf>
    <xf numFmtId="0" fontId="5" fillId="0" borderId="8" xfId="1" quotePrefix="1" applyNumberFormat="1" applyFont="1" applyBorder="1" applyAlignment="1">
      <alignment horizontal="center" vertical="center" wrapText="1"/>
    </xf>
    <xf numFmtId="0" fontId="7" fillId="3" borderId="9" xfId="1" applyNumberFormat="1" applyFont="1" applyFill="1" applyBorder="1" applyAlignment="1" applyProtection="1">
      <alignment horizontal="center" vertical="center" shrinkToFit="1"/>
    </xf>
    <xf numFmtId="0" fontId="7" fillId="3" borderId="20" xfId="1" applyNumberFormat="1" applyFont="1" applyFill="1" applyBorder="1" applyAlignment="1" applyProtection="1">
      <alignment horizontal="center" vertical="center" shrinkToFit="1"/>
    </xf>
    <xf numFmtId="0" fontId="7" fillId="3" borderId="23" xfId="1" applyNumberFormat="1" applyFont="1" applyFill="1" applyBorder="1" applyAlignment="1">
      <alignment horizontal="center" vertical="center" wrapText="1" shrinkToFit="1"/>
    </xf>
    <xf numFmtId="0" fontId="7" fillId="3" borderId="21" xfId="1" applyNumberFormat="1" applyFont="1" applyFill="1" applyBorder="1" applyAlignment="1">
      <alignment horizontal="center" vertical="center" shrinkToFit="1"/>
    </xf>
    <xf numFmtId="0" fontId="7" fillId="3" borderId="24" xfId="1" applyNumberFormat="1" applyFont="1" applyFill="1" applyBorder="1" applyAlignment="1">
      <alignment horizontal="center" vertical="center" shrinkToFit="1"/>
    </xf>
    <xf numFmtId="0" fontId="2" fillId="0" borderId="0" xfId="0" applyNumberFormat="1" applyFont="1" applyAlignment="1">
      <alignment horizontal="left" vertical="center" wrapText="1"/>
    </xf>
    <xf numFmtId="49" fontId="5" fillId="2" borderId="7" xfId="1" applyNumberFormat="1" applyFont="1" applyFill="1" applyBorder="1" applyAlignment="1" applyProtection="1">
      <alignment horizontal="center" vertical="center" wrapText="1"/>
    </xf>
    <xf numFmtId="0" fontId="16" fillId="5" borderId="28" xfId="0" applyNumberFormat="1" applyFont="1" applyFill="1" applyBorder="1" applyAlignment="1">
      <alignment horizontal="center" vertical="center" wrapText="1"/>
    </xf>
    <xf numFmtId="0" fontId="16" fillId="5" borderId="29" xfId="0" applyNumberFormat="1" applyFont="1" applyFill="1" applyBorder="1" applyAlignment="1">
      <alignment horizontal="center" vertical="center" wrapText="1"/>
    </xf>
    <xf numFmtId="0" fontId="16" fillId="5" borderId="30" xfId="0" applyNumberFormat="1" applyFont="1" applyFill="1" applyBorder="1" applyAlignment="1">
      <alignment horizontal="center" vertical="center" wrapText="1"/>
    </xf>
    <xf numFmtId="0" fontId="17" fillId="0" borderId="31" xfId="0" applyNumberFormat="1" applyFont="1" applyBorder="1" applyAlignment="1">
      <alignment horizontal="center" vertical="center" wrapText="1"/>
    </xf>
    <xf numFmtId="0" fontId="19" fillId="0" borderId="31" xfId="0" applyNumberFormat="1" applyFont="1" applyBorder="1" applyAlignment="1">
      <alignment horizontal="center" vertical="center" wrapText="1"/>
    </xf>
    <xf numFmtId="10" fontId="19" fillId="0" borderId="31" xfId="0" applyNumberFormat="1" applyFont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justify" vertical="center" wrapText="1"/>
    </xf>
    <xf numFmtId="0" fontId="22" fillId="0" borderId="1" xfId="0" applyNumberFormat="1" applyFont="1" applyBorder="1" applyAlignment="1">
      <alignment horizontal="center" vertical="center" wrapText="1"/>
    </xf>
    <xf numFmtId="0" fontId="20" fillId="7" borderId="1" xfId="0" applyNumberFormat="1" applyFont="1" applyFill="1" applyBorder="1" applyAlignment="1">
      <alignment horizontal="center" vertical="center" wrapText="1"/>
    </xf>
    <xf numFmtId="0" fontId="7" fillId="3" borderId="1" xfId="2" applyNumberFormat="1" applyFont="1" applyFill="1" applyBorder="1" applyAlignment="1" applyProtection="1">
      <alignment horizontal="center" vertical="center" shrinkToFi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0" fontId="3" fillId="0" borderId="1" xfId="2" applyNumberFormat="1" applyFont="1" applyBorder="1" applyAlignment="1">
      <alignment horizontal="center" vertical="center"/>
    </xf>
    <xf numFmtId="0" fontId="3" fillId="0" borderId="0" xfId="2" applyNumberFormat="1" applyFont="1" applyFill="1" applyAlignment="1">
      <alignment horizontal="center" vertical="center"/>
    </xf>
    <xf numFmtId="0" fontId="3" fillId="0" borderId="0" xfId="2" applyNumberFormat="1" applyFont="1" applyAlignment="1">
      <alignment horizontal="center" vertical="center"/>
    </xf>
    <xf numFmtId="0" fontId="21" fillId="4" borderId="1" xfId="0" applyNumberFormat="1" applyFont="1" applyFill="1" applyBorder="1" applyAlignment="1">
      <alignment horizontal="center" vertical="center" wrapText="1"/>
    </xf>
    <xf numFmtId="177" fontId="21" fillId="4" borderId="1" xfId="0" applyNumberFormat="1" applyFont="1" applyFill="1" applyBorder="1" applyAlignment="1">
      <alignment horizontal="center" vertical="center" wrapText="1"/>
    </xf>
    <xf numFmtId="0" fontId="17" fillId="6" borderId="32" xfId="0" applyNumberFormat="1" applyFont="1" applyFill="1" applyBorder="1" applyAlignment="1">
      <alignment vertical="center" wrapText="1"/>
    </xf>
    <xf numFmtId="0" fontId="17" fillId="6" borderId="33" xfId="0" applyNumberFormat="1" applyFont="1" applyFill="1" applyBorder="1" applyAlignment="1">
      <alignment vertical="center" wrapText="1"/>
    </xf>
    <xf numFmtId="0" fontId="17" fillId="6" borderId="32" xfId="0" applyNumberFormat="1" applyFont="1" applyFill="1" applyBorder="1" applyAlignment="1">
      <alignment horizontal="right" vertical="center" wrapText="1"/>
    </xf>
    <xf numFmtId="0" fontId="17" fillId="6" borderId="35" xfId="0" applyNumberFormat="1" applyFont="1" applyFill="1" applyBorder="1" applyAlignment="1">
      <alignment vertical="center" wrapText="1"/>
    </xf>
    <xf numFmtId="9" fontId="17" fillId="6" borderId="32" xfId="0" applyNumberFormat="1" applyFont="1" applyFill="1" applyBorder="1" applyAlignment="1">
      <alignment horizontal="left" vertical="center" wrapText="1"/>
    </xf>
    <xf numFmtId="0" fontId="26" fillId="6" borderId="32" xfId="0" applyNumberFormat="1" applyFont="1" applyFill="1" applyBorder="1" applyAlignment="1">
      <alignment horizontal="right" vertical="center" wrapText="1"/>
    </xf>
    <xf numFmtId="10" fontId="26" fillId="6" borderId="32" xfId="0" applyNumberFormat="1" applyFont="1" applyFill="1" applyBorder="1" applyAlignment="1">
      <alignment horizontal="left" vertical="center" wrapText="1"/>
    </xf>
    <xf numFmtId="179" fontId="19" fillId="0" borderId="31" xfId="0" applyNumberFormat="1" applyFont="1" applyBorder="1" applyAlignment="1">
      <alignment horizontal="center" vertical="center" wrapText="1"/>
    </xf>
    <xf numFmtId="178" fontId="20" fillId="7" borderId="1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10" fillId="2" borderId="1" xfId="1" applyFont="1" applyFill="1" applyBorder="1" applyAlignment="1">
      <alignment horizontal="center" vertical="center" wrapText="1"/>
    </xf>
    <xf numFmtId="0" fontId="3" fillId="0" borderId="0" xfId="1" applyNumberFormat="1" applyFont="1">
      <alignment vertical="center"/>
    </xf>
    <xf numFmtId="0" fontId="3" fillId="0" borderId="0" xfId="1" applyNumberFormat="1" applyFont="1" applyAlignment="1">
      <alignment horizontal="center" vertical="center"/>
    </xf>
    <xf numFmtId="0" fontId="3" fillId="0" borderId="0" xfId="1" applyNumberFormat="1" applyFont="1" applyFill="1">
      <alignment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quotePrefix="1" applyNumberFormat="1" applyFont="1" applyFill="1" applyBorder="1" applyAlignment="1" applyProtection="1">
      <alignment horizontal="left" vertical="center" wrapText="1"/>
    </xf>
    <xf numFmtId="49" fontId="5" fillId="2" borderId="1" xfId="1" applyNumberFormat="1" applyFont="1" applyFill="1" applyBorder="1" applyAlignment="1" applyProtection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 wrapText="1"/>
    </xf>
    <xf numFmtId="0" fontId="6" fillId="2" borderId="15" xfId="1" applyNumberFormat="1" applyFont="1" applyFill="1" applyBorder="1" applyAlignment="1" applyProtection="1">
      <alignment horizontal="center" vertical="center" wrapText="1"/>
    </xf>
    <xf numFmtId="0" fontId="3" fillId="0" borderId="1" xfId="1" applyNumberFormat="1" applyFont="1" applyFill="1" applyBorder="1" applyAlignment="1" applyProtection="1">
      <alignment horizontal="center" vertical="center"/>
    </xf>
    <xf numFmtId="9" fontId="28" fillId="0" borderId="1" xfId="1" applyNumberFormat="1" applyFont="1" applyBorder="1" applyAlignment="1">
      <alignment horizontal="center" vertical="center" wrapText="1"/>
    </xf>
    <xf numFmtId="0" fontId="28" fillId="2" borderId="1" xfId="1" quotePrefix="1" applyNumberFormat="1" applyFont="1" applyFill="1" applyBorder="1" applyAlignment="1" applyProtection="1">
      <alignment horizontal="center" vertical="center" wrapText="1"/>
    </xf>
    <xf numFmtId="0" fontId="28" fillId="2" borderId="16" xfId="1" quotePrefix="1" applyNumberFormat="1" applyFont="1" applyFill="1" applyBorder="1" applyAlignment="1" applyProtection="1">
      <alignment horizontal="center" vertical="center" wrapText="1"/>
    </xf>
    <xf numFmtId="0" fontId="28" fillId="2" borderId="8" xfId="1" quotePrefix="1" applyNumberFormat="1" applyFont="1" applyFill="1" applyBorder="1" applyAlignment="1" applyProtection="1">
      <alignment horizontal="left" vertical="center" wrapText="1"/>
    </xf>
    <xf numFmtId="0" fontId="28" fillId="2" borderId="1" xfId="1" applyNumberFormat="1" applyFont="1" applyFill="1" applyBorder="1" applyAlignment="1" applyProtection="1">
      <alignment horizontal="center" vertical="center" wrapText="1"/>
    </xf>
    <xf numFmtId="176" fontId="28" fillId="0" borderId="1" xfId="1" applyNumberFormat="1" applyFont="1" applyBorder="1" applyAlignment="1">
      <alignment horizontal="center" vertical="center"/>
    </xf>
    <xf numFmtId="14" fontId="28" fillId="2" borderId="16" xfId="1" quotePrefix="1" applyNumberFormat="1" applyFont="1" applyFill="1" applyBorder="1" applyAlignment="1" applyProtection="1">
      <alignment horizontal="center" vertical="center" wrapText="1"/>
    </xf>
    <xf numFmtId="0" fontId="23" fillId="0" borderId="1" xfId="1" applyNumberFormat="1" applyFont="1" applyBorder="1" applyAlignment="1">
      <alignment horizontal="center" vertical="center" wrapText="1"/>
    </xf>
    <xf numFmtId="0" fontId="23" fillId="0" borderId="7" xfId="1" applyNumberFormat="1" applyFont="1" applyBorder="1" applyAlignment="1">
      <alignment horizontal="center" vertical="center" wrapText="1"/>
    </xf>
    <xf numFmtId="0" fontId="11" fillId="2" borderId="15" xfId="1" applyNumberFormat="1" applyFont="1" applyFill="1" applyBorder="1" applyAlignment="1" applyProtection="1">
      <alignment horizontal="center" vertical="center" wrapText="1"/>
    </xf>
    <xf numFmtId="0" fontId="11" fillId="2" borderId="1" xfId="1" applyNumberFormat="1" applyFont="1" applyFill="1" applyBorder="1" applyAlignment="1" applyProtection="1">
      <alignment horizontal="center" vertical="center" wrapText="1"/>
    </xf>
    <xf numFmtId="9" fontId="11" fillId="0" borderId="1" xfId="1" applyNumberFormat="1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/>
    </xf>
    <xf numFmtId="0" fontId="11" fillId="2" borderId="1" xfId="1" quotePrefix="1" applyNumberFormat="1" applyFont="1" applyFill="1" applyBorder="1" applyAlignment="1" applyProtection="1">
      <alignment horizontal="left" vertical="center" wrapText="1"/>
    </xf>
    <xf numFmtId="0" fontId="11" fillId="2" borderId="16" xfId="1" quotePrefix="1" applyNumberFormat="1" applyFont="1" applyFill="1" applyBorder="1" applyAlignment="1" applyProtection="1">
      <alignment horizontal="center" vertical="center" wrapText="1"/>
    </xf>
    <xf numFmtId="0" fontId="11" fillId="2" borderId="8" xfId="1" quotePrefix="1" applyNumberFormat="1" applyFont="1" applyFill="1" applyBorder="1" applyAlignment="1" applyProtection="1">
      <alignment horizontal="left" vertical="center" wrapText="1"/>
    </xf>
    <xf numFmtId="0" fontId="11" fillId="2" borderId="1" xfId="1" quotePrefix="1" applyNumberFormat="1" applyFont="1" applyFill="1" applyBorder="1" applyAlignment="1" applyProtection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9" fontId="11" fillId="0" borderId="1" xfId="1" applyNumberFormat="1" applyFont="1" applyBorder="1" applyAlignment="1">
      <alignment horizontal="center" vertical="center" wrapText="1"/>
    </xf>
    <xf numFmtId="0" fontId="11" fillId="0" borderId="15" xfId="1" applyNumberFormat="1" applyFont="1" applyBorder="1" applyAlignment="1">
      <alignment horizontal="center" vertical="center"/>
    </xf>
    <xf numFmtId="0" fontId="30" fillId="0" borderId="15" xfId="1" applyNumberFormat="1" applyFont="1" applyBorder="1" applyAlignment="1">
      <alignment horizontal="center" vertical="center"/>
    </xf>
    <xf numFmtId="0" fontId="30" fillId="0" borderId="1" xfId="1" applyNumberFormat="1" applyFont="1" applyBorder="1" applyAlignment="1">
      <alignment horizontal="center" vertical="center"/>
    </xf>
    <xf numFmtId="14" fontId="11" fillId="2" borderId="16" xfId="1" quotePrefix="1" applyNumberFormat="1" applyFont="1" applyFill="1" applyBorder="1" applyAlignment="1" applyProtection="1">
      <alignment horizontal="center" vertical="center" wrapText="1"/>
    </xf>
    <xf numFmtId="0" fontId="11" fillId="0" borderId="15" xfId="1" quotePrefix="1" applyNumberFormat="1" applyFont="1" applyBorder="1" applyAlignment="1">
      <alignment horizontal="center" vertical="center"/>
    </xf>
    <xf numFmtId="0" fontId="30" fillId="0" borderId="17" xfId="1" applyNumberFormat="1" applyFont="1" applyBorder="1" applyAlignment="1">
      <alignment horizontal="center" vertical="center"/>
    </xf>
    <xf numFmtId="0" fontId="30" fillId="0" borderId="18" xfId="1" applyNumberFormat="1" applyFont="1" applyBorder="1" applyAlignment="1">
      <alignment horizontal="center" vertical="center"/>
    </xf>
    <xf numFmtId="9" fontId="11" fillId="0" borderId="18" xfId="1" applyNumberFormat="1" applyFont="1" applyBorder="1" applyAlignment="1">
      <alignment horizontal="center" vertical="center" wrapText="1"/>
    </xf>
    <xf numFmtId="176" fontId="11" fillId="0" borderId="18" xfId="1" applyNumberFormat="1" applyFont="1" applyBorder="1" applyAlignment="1">
      <alignment horizontal="center" vertical="center"/>
    </xf>
    <xf numFmtId="0" fontId="11" fillId="2" borderId="18" xfId="1" quotePrefix="1" applyNumberFormat="1" applyFont="1" applyFill="1" applyBorder="1" applyAlignment="1" applyProtection="1">
      <alignment horizontal="center" vertical="center" wrapText="1"/>
    </xf>
    <xf numFmtId="0" fontId="11" fillId="2" borderId="19" xfId="1" quotePrefix="1" applyNumberFormat="1" applyFont="1" applyFill="1" applyBorder="1" applyAlignment="1" applyProtection="1">
      <alignment horizontal="center" vertical="center" wrapText="1"/>
    </xf>
    <xf numFmtId="0" fontId="29" fillId="0" borderId="1" xfId="1" applyNumberFormat="1" applyFont="1" applyBorder="1" applyAlignment="1">
      <alignment horizontal="center" vertical="center" wrapText="1"/>
    </xf>
    <xf numFmtId="0" fontId="29" fillId="0" borderId="7" xfId="1" applyNumberFormat="1" applyFont="1" applyBorder="1" applyAlignment="1">
      <alignment horizontal="center" vertical="center" wrapText="1"/>
    </xf>
    <xf numFmtId="0" fontId="28" fillId="0" borderId="15" xfId="1" applyNumberFormat="1" applyFont="1" applyBorder="1" applyAlignment="1">
      <alignment horizontal="center" vertical="center"/>
    </xf>
    <xf numFmtId="0" fontId="31" fillId="0" borderId="1" xfId="1" applyNumberFormat="1" applyFont="1" applyBorder="1" applyAlignment="1">
      <alignment horizontal="center" vertical="center" wrapText="1"/>
    </xf>
    <xf numFmtId="0" fontId="31" fillId="0" borderId="7" xfId="1" applyNumberFormat="1" applyFont="1" applyBorder="1" applyAlignment="1">
      <alignment horizontal="center" vertical="center" wrapText="1"/>
    </xf>
    <xf numFmtId="9" fontId="6" fillId="0" borderId="1" xfId="1" applyNumberFormat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0" fontId="6" fillId="0" borderId="15" xfId="1" applyNumberFormat="1" applyFont="1" applyBorder="1" applyAlignment="1">
      <alignment horizontal="center" vertical="center"/>
    </xf>
    <xf numFmtId="9" fontId="6" fillId="0" borderId="1" xfId="1" applyNumberFormat="1" applyFont="1" applyBorder="1" applyAlignment="1">
      <alignment horizontal="center" vertical="center" wrapText="1"/>
    </xf>
    <xf numFmtId="0" fontId="6" fillId="2" borderId="1" xfId="1" quotePrefix="1" applyNumberFormat="1" applyFont="1" applyFill="1" applyBorder="1" applyAlignment="1" applyProtection="1">
      <alignment horizontal="center" vertical="center" wrapText="1"/>
    </xf>
    <xf numFmtId="14" fontId="6" fillId="2" borderId="16" xfId="1" quotePrefix="1" applyNumberFormat="1" applyFont="1" applyFill="1" applyBorder="1" applyAlignment="1" applyProtection="1">
      <alignment horizontal="center" vertical="center" wrapText="1"/>
    </xf>
    <xf numFmtId="0" fontId="8" fillId="0" borderId="15" xfId="1" applyNumberFormat="1" applyFont="1" applyBorder="1" applyAlignment="1">
      <alignment horizontal="center" vertical="center"/>
    </xf>
    <xf numFmtId="0" fontId="7" fillId="3" borderId="13" xfId="1" applyNumberFormat="1" applyFont="1" applyFill="1" applyBorder="1" applyAlignment="1">
      <alignment horizontal="center" vertical="center" shrinkToFit="1"/>
    </xf>
    <xf numFmtId="0" fontId="5" fillId="2" borderId="6" xfId="2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9" fontId="5" fillId="0" borderId="1" xfId="1" applyNumberFormat="1" applyFont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9" fontId="5" fillId="0" borderId="1" xfId="1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quotePrefix="1" applyNumberFormat="1" applyFont="1" applyFill="1" applyBorder="1" applyAlignment="1" applyProtection="1">
      <alignment horizontal="left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176" fontId="5" fillId="0" borderId="1" xfId="1" applyNumberFormat="1" applyFont="1" applyBorder="1" applyAlignment="1">
      <alignment horizontal="center" vertical="center"/>
    </xf>
    <xf numFmtId="0" fontId="5" fillId="2" borderId="8" xfId="1" quotePrefix="1" applyNumberFormat="1" applyFont="1" applyFill="1" applyBorder="1" applyAlignment="1" applyProtection="1">
      <alignment horizontal="left" vertical="center" wrapText="1"/>
    </xf>
    <xf numFmtId="0" fontId="5" fillId="2" borderId="8" xfId="1" quotePrefix="1" applyNumberFormat="1" applyFont="1" applyFill="1" applyBorder="1" applyAlignment="1" applyProtection="1">
      <alignment horizontal="center" vertical="center" wrapText="1"/>
    </xf>
    <xf numFmtId="0" fontId="6" fillId="2" borderId="15" xfId="1" applyNumberFormat="1" applyFont="1" applyFill="1" applyBorder="1" applyAlignment="1" applyProtection="1">
      <alignment horizontal="center" vertical="center" wrapText="1"/>
    </xf>
    <xf numFmtId="176" fontId="5" fillId="0" borderId="18" xfId="1" applyNumberFormat="1" applyFont="1" applyBorder="1" applyAlignment="1">
      <alignment horizontal="center" vertical="center"/>
    </xf>
    <xf numFmtId="0" fontId="5" fillId="2" borderId="16" xfId="1" quotePrefix="1" applyNumberFormat="1" applyFont="1" applyFill="1" applyBorder="1" applyAlignment="1" applyProtection="1">
      <alignment horizontal="center" vertical="center" wrapText="1"/>
    </xf>
    <xf numFmtId="0" fontId="6" fillId="2" borderId="17" xfId="1" applyNumberFormat="1" applyFont="1" applyFill="1" applyBorder="1" applyAlignment="1" applyProtection="1">
      <alignment horizontal="center" vertical="center" wrapText="1"/>
    </xf>
    <xf numFmtId="9" fontId="5" fillId="0" borderId="18" xfId="1" applyNumberFormat="1" applyFont="1" applyBorder="1" applyAlignment="1">
      <alignment horizontal="center" vertical="center"/>
    </xf>
    <xf numFmtId="0" fontId="5" fillId="2" borderId="18" xfId="1" quotePrefix="1" applyNumberFormat="1" applyFont="1" applyFill="1" applyBorder="1" applyAlignment="1" applyProtection="1">
      <alignment horizontal="left" vertical="center" wrapText="1"/>
    </xf>
    <xf numFmtId="0" fontId="5" fillId="0" borderId="7" xfId="1" applyNumberFormat="1" applyFont="1" applyBorder="1" applyAlignment="1">
      <alignment horizontal="center" vertical="center" wrapText="1"/>
    </xf>
    <xf numFmtId="0" fontId="5" fillId="2" borderId="22" xfId="1" quotePrefix="1" applyNumberFormat="1" applyFont="1" applyFill="1" applyBorder="1" applyAlignment="1" applyProtection="1">
      <alignment horizontal="left" vertical="center" wrapText="1"/>
    </xf>
    <xf numFmtId="0" fontId="5" fillId="2" borderId="19" xfId="1" quotePrefix="1" applyNumberFormat="1" applyFont="1" applyFill="1" applyBorder="1" applyAlignment="1" applyProtection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5" fillId="0" borderId="1" xfId="1" quotePrefix="1" applyNumberFormat="1" applyFont="1" applyBorder="1" applyAlignment="1">
      <alignment horizontal="left" vertical="center" wrapText="1"/>
    </xf>
    <xf numFmtId="0" fontId="5" fillId="0" borderId="1" xfId="1" quotePrefix="1" applyNumberFormat="1" applyFont="1" applyBorder="1" applyAlignment="1">
      <alignment horizontal="center" vertical="center" shrinkToFit="1"/>
    </xf>
    <xf numFmtId="9" fontId="5" fillId="0" borderId="1" xfId="1" applyNumberFormat="1" applyFont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5" fillId="2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Border="1" applyAlignment="1">
      <alignment horizontal="left" vertical="center" wrapText="1"/>
    </xf>
    <xf numFmtId="0" fontId="5" fillId="0" borderId="1" xfId="1" applyNumberFormat="1" applyFont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0" borderId="1" xfId="1" quotePrefix="1" applyNumberFormat="1" applyFont="1" applyBorder="1" applyAlignment="1">
      <alignment horizontal="center" vertical="center" wrapText="1" shrinkToFit="1"/>
    </xf>
    <xf numFmtId="0" fontId="5" fillId="2" borderId="1" xfId="1" applyNumberFormat="1" applyFont="1" applyFill="1" applyBorder="1" applyAlignment="1" applyProtection="1">
      <alignment horizontal="left" vertical="center" wrapText="1"/>
    </xf>
    <xf numFmtId="0" fontId="5" fillId="2" borderId="1" xfId="1" applyNumberFormat="1" applyFont="1" applyFill="1" applyBorder="1" applyAlignment="1" applyProtection="1">
      <alignment horizontal="center" vertical="center" shrinkToFit="1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1" quotePrefix="1" applyFont="1" applyFill="1" applyBorder="1" applyAlignment="1">
      <alignment horizontal="left" vertical="center" wrapText="1"/>
    </xf>
    <xf numFmtId="0" fontId="5" fillId="2" borderId="1" xfId="1" quotePrefix="1" applyFont="1" applyFill="1" applyBorder="1" applyAlignment="1">
      <alignment horizontal="center" vertical="center" wrapText="1"/>
    </xf>
    <xf numFmtId="0" fontId="5" fillId="2" borderId="1" xfId="1" quotePrefix="1" applyNumberFormat="1" applyFont="1" applyFill="1" applyBorder="1" applyAlignment="1" applyProtection="1">
      <alignment horizontal="left" vertical="center" wrapText="1"/>
    </xf>
    <xf numFmtId="0" fontId="5" fillId="2" borderId="1" xfId="1" quotePrefix="1" applyNumberFormat="1" applyFont="1" applyFill="1" applyBorder="1" applyAlignment="1" applyProtection="1">
      <alignment horizontal="center" vertical="center" wrapText="1"/>
    </xf>
    <xf numFmtId="0" fontId="5" fillId="2" borderId="1" xfId="1" applyNumberFormat="1" applyFont="1" applyFill="1" applyBorder="1" applyAlignment="1">
      <alignment horizontal="left" vertical="center" wrapText="1"/>
    </xf>
    <xf numFmtId="0" fontId="5" fillId="2" borderId="1" xfId="1" quotePrefix="1" applyNumberFormat="1" applyFont="1" applyFill="1" applyBorder="1" applyAlignment="1">
      <alignment horizontal="left" vertical="center" wrapText="1"/>
    </xf>
    <xf numFmtId="0" fontId="5" fillId="0" borderId="1" xfId="1" applyNumberFormat="1" applyFont="1" applyBorder="1" applyAlignment="1">
      <alignment horizontal="center" vertical="center" wrapText="1" shrinkToFit="1"/>
    </xf>
    <xf numFmtId="0" fontId="5" fillId="0" borderId="1" xfId="1" applyFont="1" applyFill="1" applyBorder="1" applyAlignment="1">
      <alignment horizontal="left" vertical="center" wrapText="1"/>
    </xf>
    <xf numFmtId="176" fontId="5" fillId="0" borderId="1" xfId="1" applyNumberFormat="1" applyFont="1" applyBorder="1" applyAlignment="1">
      <alignment horizontal="center" vertical="center"/>
    </xf>
    <xf numFmtId="0" fontId="5" fillId="2" borderId="8" xfId="1" quotePrefix="1" applyNumberFormat="1" applyFont="1" applyFill="1" applyBorder="1" applyAlignment="1" applyProtection="1">
      <alignment horizontal="left" vertical="center" wrapText="1"/>
    </xf>
    <xf numFmtId="0" fontId="6" fillId="2" borderId="15" xfId="1" applyNumberFormat="1" applyFont="1" applyFill="1" applyBorder="1" applyAlignment="1" applyProtection="1">
      <alignment horizontal="center" vertical="center" wrapText="1"/>
    </xf>
    <xf numFmtId="0" fontId="5" fillId="0" borderId="15" xfId="1" applyNumberFormat="1" applyFont="1" applyBorder="1" applyAlignment="1">
      <alignment horizontal="center" vertical="center"/>
    </xf>
    <xf numFmtId="0" fontId="5" fillId="0" borderId="15" xfId="1" quotePrefix="1" applyNumberFormat="1" applyFont="1" applyBorder="1" applyAlignment="1">
      <alignment horizontal="center" vertical="center"/>
    </xf>
    <xf numFmtId="176" fontId="5" fillId="0" borderId="18" xfId="1" applyNumberFormat="1" applyFont="1" applyBorder="1" applyAlignment="1">
      <alignment horizontal="center" vertical="center"/>
    </xf>
    <xf numFmtId="0" fontId="5" fillId="2" borderId="16" xfId="1" quotePrefix="1" applyNumberFormat="1" applyFont="1" applyFill="1" applyBorder="1" applyAlignment="1" applyProtection="1">
      <alignment horizontal="center" vertical="center" wrapText="1"/>
    </xf>
    <xf numFmtId="0" fontId="6" fillId="2" borderId="7" xfId="1" applyNumberFormat="1" applyFont="1" applyFill="1" applyBorder="1" applyAlignment="1" applyProtection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7" xfId="1" quotePrefix="1" applyFont="1" applyFill="1" applyBorder="1" applyAlignment="1">
      <alignment horizontal="center" vertical="center" wrapText="1"/>
    </xf>
    <xf numFmtId="0" fontId="6" fillId="0" borderId="7" xfId="1" applyNumberFormat="1" applyFont="1" applyBorder="1" applyAlignment="1">
      <alignment horizontal="center" vertical="center"/>
    </xf>
    <xf numFmtId="0" fontId="6" fillId="0" borderId="7" xfId="1" quotePrefix="1" applyNumberFormat="1" applyFont="1" applyBorder="1" applyAlignment="1">
      <alignment horizontal="center" vertical="center"/>
    </xf>
    <xf numFmtId="0" fontId="5" fillId="2" borderId="16" xfId="1" applyNumberFormat="1" applyFont="1" applyFill="1" applyBorder="1" applyAlignment="1" applyProtection="1">
      <alignment horizontal="center" vertical="center" wrapText="1"/>
    </xf>
    <xf numFmtId="0" fontId="5" fillId="2" borderId="16" xfId="1" quotePrefix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0" borderId="16" xfId="1" applyNumberFormat="1" applyFont="1" applyBorder="1" applyAlignment="1">
      <alignment horizontal="center" vertical="center" wrapText="1"/>
    </xf>
    <xf numFmtId="0" fontId="5" fillId="0" borderId="16" xfId="1" quotePrefix="1" applyNumberFormat="1" applyFont="1" applyBorder="1" applyAlignment="1">
      <alignment horizontal="center" vertical="center" wrapText="1"/>
    </xf>
    <xf numFmtId="0" fontId="5" fillId="0" borderId="16" xfId="1" applyNumberFormat="1" applyFont="1" applyBorder="1" applyAlignment="1">
      <alignment horizontal="center" vertical="center"/>
    </xf>
    <xf numFmtId="0" fontId="6" fillId="2" borderId="18" xfId="1" applyNumberFormat="1" applyFont="1" applyFill="1" applyBorder="1" applyAlignment="1" applyProtection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quotePrefix="1" applyFont="1" applyFill="1" applyBorder="1" applyAlignment="1">
      <alignment horizontal="center" vertical="center" wrapText="1"/>
    </xf>
    <xf numFmtId="0" fontId="5" fillId="0" borderId="17" xfId="1" applyNumberFormat="1" applyFont="1" applyBorder="1" applyAlignment="1">
      <alignment horizontal="center" vertical="center"/>
    </xf>
    <xf numFmtId="9" fontId="5" fillId="0" borderId="18" xfId="1" applyNumberFormat="1" applyFont="1" applyBorder="1" applyAlignment="1">
      <alignment horizontal="center" vertical="center" wrapText="1"/>
    </xf>
    <xf numFmtId="0" fontId="5" fillId="2" borderId="18" xfId="1" applyNumberFormat="1" applyFont="1" applyFill="1" applyBorder="1" applyAlignment="1">
      <alignment horizontal="left" vertical="center" wrapText="1"/>
    </xf>
    <xf numFmtId="0" fontId="5" fillId="0" borderId="18" xfId="1" applyNumberFormat="1" applyFont="1" applyBorder="1" applyAlignment="1">
      <alignment horizontal="center" vertical="center" wrapText="1" shrinkToFit="1"/>
    </xf>
    <xf numFmtId="0" fontId="5" fillId="0" borderId="19" xfId="1" applyNumberFormat="1" applyFont="1" applyBorder="1" applyAlignment="1">
      <alignment horizontal="center" vertical="center"/>
    </xf>
    <xf numFmtId="0" fontId="11" fillId="2" borderId="1" xfId="1" applyNumberFormat="1" applyFont="1" applyFill="1" applyBorder="1" applyAlignment="1" applyProtection="1">
      <alignment horizontal="center" vertical="center" wrapText="1"/>
    </xf>
    <xf numFmtId="9" fontId="11" fillId="0" borderId="1" xfId="1" applyNumberFormat="1" applyFont="1" applyBorder="1" applyAlignment="1">
      <alignment horizontal="center" vertical="center"/>
    </xf>
    <xf numFmtId="9" fontId="11" fillId="0" borderId="1" xfId="1" applyNumberFormat="1" applyFont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0" xfId="1" applyNumberFormat="1" applyFont="1" applyFill="1">
      <alignment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left" vertical="center"/>
    </xf>
    <xf numFmtId="176" fontId="3" fillId="0" borderId="1" xfId="1" applyNumberFormat="1" applyFont="1" applyBorder="1" applyAlignment="1">
      <alignment horizontal="center" vertical="center"/>
    </xf>
    <xf numFmtId="0" fontId="5" fillId="2" borderId="8" xfId="1" quotePrefix="1" applyNumberFormat="1" applyFont="1" applyFill="1" applyBorder="1" applyAlignment="1" applyProtection="1">
      <alignment horizontal="left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quotePrefix="1" applyFont="1" applyFill="1" applyBorder="1" applyAlignment="1">
      <alignment horizontal="left" vertical="center" wrapText="1"/>
    </xf>
    <xf numFmtId="0" fontId="5" fillId="2" borderId="1" xfId="1" quotePrefix="1" applyNumberFormat="1" applyFont="1" applyFill="1" applyBorder="1" applyAlignment="1" applyProtection="1">
      <alignment horizontal="left" vertical="center" wrapText="1"/>
    </xf>
    <xf numFmtId="49" fontId="5" fillId="2" borderId="1" xfId="1" applyNumberFormat="1" applyFont="1" applyFill="1" applyBorder="1" applyAlignment="1" applyProtection="1">
      <alignment horizontal="center" vertical="center" wrapText="1"/>
    </xf>
    <xf numFmtId="0" fontId="6" fillId="2" borderId="15" xfId="1" applyNumberFormat="1" applyFont="1" applyFill="1" applyBorder="1" applyAlignment="1" applyProtection="1">
      <alignment horizontal="center" vertical="center" wrapText="1"/>
    </xf>
    <xf numFmtId="0" fontId="5" fillId="2" borderId="16" xfId="1" quotePrefix="1" applyNumberFormat="1" applyFont="1" applyFill="1" applyBorder="1" applyAlignment="1" applyProtection="1">
      <alignment horizontal="center" vertical="center" wrapText="1"/>
    </xf>
    <xf numFmtId="0" fontId="5" fillId="2" borderId="16" xfId="1" quotePrefix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5" fillId="2" borderId="19" xfId="1" quotePrefix="1" applyNumberFormat="1" applyFont="1" applyFill="1" applyBorder="1" applyAlignment="1" applyProtection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9" fillId="2" borderId="7" xfId="1" applyNumberFormat="1" applyFont="1" applyFill="1" applyBorder="1" applyAlignment="1">
      <alignment horizontal="center" vertical="center" wrapText="1"/>
    </xf>
    <xf numFmtId="0" fontId="11" fillId="2" borderId="1" xfId="1" applyNumberFormat="1" applyFont="1" applyFill="1" applyBorder="1" applyAlignment="1" applyProtection="1">
      <alignment horizontal="center" vertical="center" wrapText="1"/>
    </xf>
    <xf numFmtId="0" fontId="5" fillId="2" borderId="18" xfId="1" quotePrefix="1" applyFont="1" applyFill="1" applyBorder="1" applyAlignment="1">
      <alignment horizontal="left" vertical="center" wrapText="1"/>
    </xf>
    <xf numFmtId="0" fontId="12" fillId="2" borderId="1" xfId="1" applyNumberFormat="1" applyFont="1" applyFill="1" applyBorder="1" applyAlignment="1">
      <alignment horizontal="center" vertical="center" wrapText="1"/>
    </xf>
    <xf numFmtId="0" fontId="5" fillId="2" borderId="15" xfId="1" applyNumberFormat="1" applyFont="1" applyFill="1" applyBorder="1" applyAlignment="1">
      <alignment horizontal="center" vertical="center"/>
    </xf>
    <xf numFmtId="9" fontId="11" fillId="2" borderId="1" xfId="1" applyNumberFormat="1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5" fillId="2" borderId="15" xfId="1" quotePrefix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 wrapText="1"/>
    </xf>
    <xf numFmtId="0" fontId="9" fillId="2" borderId="7" xfId="1" quotePrefix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11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/>
    </xf>
    <xf numFmtId="9" fontId="5" fillId="2" borderId="18" xfId="1" applyNumberFormat="1" applyFont="1" applyFill="1" applyBorder="1" applyAlignment="1">
      <alignment horizontal="center" vertical="center"/>
    </xf>
    <xf numFmtId="176" fontId="5" fillId="2" borderId="18" xfId="1" applyNumberFormat="1" applyFont="1" applyFill="1" applyBorder="1" applyAlignment="1">
      <alignment horizontal="center" vertical="center"/>
    </xf>
    <xf numFmtId="0" fontId="3" fillId="0" borderId="0" xfId="1" applyNumberFormat="1" applyFont="1">
      <alignment vertical="center"/>
    </xf>
    <xf numFmtId="0" fontId="3" fillId="0" borderId="0" xfId="1" applyNumberFormat="1" applyFont="1" applyAlignment="1">
      <alignment horizontal="center" vertical="center"/>
    </xf>
    <xf numFmtId="9" fontId="5" fillId="0" borderId="1" xfId="1" applyNumberFormat="1" applyFont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9" fontId="5" fillId="0" borderId="1" xfId="1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quotePrefix="1" applyNumberFormat="1" applyFont="1" applyFill="1" applyBorder="1" applyAlignment="1" applyProtection="1">
      <alignment horizontal="left" vertical="center" wrapText="1"/>
    </xf>
    <xf numFmtId="176" fontId="5" fillId="0" borderId="1" xfId="1" applyNumberFormat="1" applyFont="1" applyBorder="1" applyAlignment="1">
      <alignment horizontal="center" vertical="center"/>
    </xf>
    <xf numFmtId="0" fontId="5" fillId="2" borderId="8" xfId="1" quotePrefix="1" applyNumberFormat="1" applyFont="1" applyFill="1" applyBorder="1" applyAlignment="1" applyProtection="1">
      <alignment horizontal="left" vertical="center" wrapText="1"/>
    </xf>
    <xf numFmtId="0" fontId="6" fillId="2" borderId="15" xfId="1" applyNumberFormat="1" applyFont="1" applyFill="1" applyBorder="1" applyAlignment="1" applyProtection="1">
      <alignment horizontal="center" vertical="center" wrapText="1"/>
    </xf>
    <xf numFmtId="0" fontId="5" fillId="0" borderId="15" xfId="1" applyNumberFormat="1" applyFont="1" applyBorder="1" applyAlignment="1">
      <alignment horizontal="center" vertical="center"/>
    </xf>
    <xf numFmtId="0" fontId="5" fillId="0" borderId="15" xfId="1" quotePrefix="1" applyNumberFormat="1" applyFont="1" applyBorder="1" applyAlignment="1">
      <alignment horizontal="center" vertical="center"/>
    </xf>
    <xf numFmtId="176" fontId="5" fillId="0" borderId="18" xfId="1" applyNumberFormat="1" applyFont="1" applyBorder="1" applyAlignment="1">
      <alignment horizontal="center" vertical="center"/>
    </xf>
    <xf numFmtId="0" fontId="5" fillId="2" borderId="16" xfId="1" quotePrefix="1" applyNumberFormat="1" applyFont="1" applyFill="1" applyBorder="1" applyAlignment="1" applyProtection="1">
      <alignment horizontal="center" vertical="center" wrapText="1"/>
    </xf>
    <xf numFmtId="0" fontId="5" fillId="2" borderId="18" xfId="1" quotePrefix="1" applyNumberFormat="1" applyFont="1" applyFill="1" applyBorder="1" applyAlignment="1" applyProtection="1">
      <alignment horizontal="left" vertical="center" wrapText="1"/>
    </xf>
    <xf numFmtId="0" fontId="5" fillId="0" borderId="17" xfId="1" applyNumberFormat="1" applyFont="1" applyBorder="1" applyAlignment="1">
      <alignment horizontal="center" vertical="center"/>
    </xf>
    <xf numFmtId="0" fontId="5" fillId="2" borderId="22" xfId="1" quotePrefix="1" applyNumberFormat="1" applyFont="1" applyFill="1" applyBorder="1" applyAlignment="1" applyProtection="1">
      <alignment horizontal="left" vertical="center" wrapText="1"/>
    </xf>
    <xf numFmtId="0" fontId="5" fillId="2" borderId="19" xfId="1" quotePrefix="1" applyNumberFormat="1" applyFont="1" applyFill="1" applyBorder="1" applyAlignment="1" applyProtection="1">
      <alignment horizontal="center" vertical="center" wrapText="1"/>
    </xf>
    <xf numFmtId="0" fontId="11" fillId="2" borderId="1" xfId="1" applyNumberFormat="1" applyFont="1" applyFill="1" applyBorder="1" applyAlignment="1" applyProtection="1">
      <alignment horizontal="center" vertical="center" wrapText="1"/>
    </xf>
    <xf numFmtId="9" fontId="11" fillId="0" borderId="1" xfId="1" applyNumberFormat="1" applyFont="1" applyBorder="1" applyAlignment="1">
      <alignment horizontal="center" vertical="center"/>
    </xf>
    <xf numFmtId="49" fontId="5" fillId="2" borderId="1" xfId="1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9" fontId="3" fillId="0" borderId="0" xfId="1" applyNumberFormat="1" applyFont="1" applyAlignment="1">
      <alignment horizontal="center" vertical="center"/>
    </xf>
    <xf numFmtId="180" fontId="19" fillId="0" borderId="31" xfId="5" applyNumberFormat="1" applyFont="1" applyBorder="1" applyAlignment="1">
      <alignment horizontal="center" vertical="center" wrapText="1"/>
    </xf>
    <xf numFmtId="180" fontId="26" fillId="6" borderId="32" xfId="5" applyNumberFormat="1" applyFont="1" applyFill="1" applyBorder="1" applyAlignment="1">
      <alignment vertical="center" wrapText="1"/>
    </xf>
    <xf numFmtId="181" fontId="26" fillId="6" borderId="32" xfId="2" applyNumberFormat="1" applyFont="1" applyFill="1" applyBorder="1" applyAlignment="1">
      <alignment vertical="center" wrapText="1"/>
    </xf>
    <xf numFmtId="0" fontId="3" fillId="0" borderId="0" xfId="1" applyNumberFormat="1" applyFont="1">
      <alignment vertical="center"/>
    </xf>
    <xf numFmtId="9" fontId="5" fillId="0" borderId="1" xfId="1" applyNumberFormat="1" applyFont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9" fontId="5" fillId="0" borderId="1" xfId="1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 applyProtection="1">
      <alignment horizontal="left" vertical="center" wrapText="1"/>
    </xf>
    <xf numFmtId="0" fontId="5" fillId="2" borderId="1" xfId="1" quotePrefix="1" applyFont="1" applyFill="1" applyBorder="1" applyAlignment="1">
      <alignment horizontal="left" vertical="center" wrapText="1"/>
    </xf>
    <xf numFmtId="0" fontId="5" fillId="2" borderId="1" xfId="1" quotePrefix="1" applyFont="1" applyFill="1" applyBorder="1" applyAlignment="1">
      <alignment horizontal="center" vertical="center" wrapText="1"/>
    </xf>
    <xf numFmtId="0" fontId="5" fillId="2" borderId="1" xfId="1" quotePrefix="1" applyNumberFormat="1" applyFont="1" applyFill="1" applyBorder="1" applyAlignment="1" applyProtection="1">
      <alignment horizontal="left" vertical="center" wrapText="1"/>
    </xf>
    <xf numFmtId="0" fontId="5" fillId="2" borderId="1" xfId="1" quotePrefix="1" applyNumberFormat="1" applyFont="1" applyFill="1" applyBorder="1" applyAlignment="1" applyProtection="1">
      <alignment horizontal="center" vertical="center" wrapText="1"/>
    </xf>
    <xf numFmtId="0" fontId="3" fillId="0" borderId="0" xfId="1" applyNumberFormat="1" applyFont="1" applyFill="1" applyBorder="1" applyAlignment="1" applyProtection="1">
      <alignment vertical="center"/>
    </xf>
    <xf numFmtId="0" fontId="3" fillId="0" borderId="1" xfId="1" applyNumberFormat="1" applyFont="1" applyBorder="1" applyAlignment="1">
      <alignment horizontal="center" vertical="center"/>
    </xf>
    <xf numFmtId="49" fontId="5" fillId="2" borderId="1" xfId="1" applyNumberFormat="1" applyFont="1" applyFill="1" applyBorder="1" applyAlignment="1" applyProtection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/>
    </xf>
    <xf numFmtId="176" fontId="5" fillId="0" borderId="1" xfId="1" applyNumberFormat="1" applyFont="1" applyBorder="1" applyAlignment="1">
      <alignment horizontal="center" vertical="center"/>
    </xf>
    <xf numFmtId="0" fontId="3" fillId="0" borderId="7" xfId="1" applyNumberFormat="1" applyFont="1" applyBorder="1" applyAlignment="1">
      <alignment horizontal="center" vertical="center"/>
    </xf>
    <xf numFmtId="9" fontId="10" fillId="0" borderId="1" xfId="1" applyNumberFormat="1" applyFont="1" applyBorder="1" applyAlignment="1">
      <alignment horizontal="center" vertical="center"/>
    </xf>
    <xf numFmtId="0" fontId="5" fillId="2" borderId="8" xfId="1" quotePrefix="1" applyNumberFormat="1" applyFont="1" applyFill="1" applyBorder="1" applyAlignment="1" applyProtection="1">
      <alignment horizontal="center" vertical="center" wrapText="1"/>
    </xf>
    <xf numFmtId="0" fontId="6" fillId="2" borderId="15" xfId="1" applyNumberFormat="1" applyFont="1" applyFill="1" applyBorder="1" applyAlignment="1" applyProtection="1">
      <alignment horizontal="center" vertical="center" wrapText="1"/>
    </xf>
    <xf numFmtId="0" fontId="5" fillId="2" borderId="16" xfId="1" quotePrefix="1" applyNumberFormat="1" applyFont="1" applyFill="1" applyBorder="1" applyAlignment="1" applyProtection="1">
      <alignment horizontal="left" vertical="center" wrapText="1"/>
    </xf>
    <xf numFmtId="0" fontId="5" fillId="0" borderId="15" xfId="1" applyNumberFormat="1" applyFont="1" applyBorder="1" applyAlignment="1">
      <alignment horizontal="center" vertical="center"/>
    </xf>
    <xf numFmtId="0" fontId="3" fillId="0" borderId="15" xfId="1" applyNumberFormat="1" applyFont="1" applyBorder="1" applyAlignment="1">
      <alignment horizontal="center" vertical="center"/>
    </xf>
    <xf numFmtId="0" fontId="3" fillId="0" borderId="16" xfId="1" applyNumberFormat="1" applyFont="1" applyFill="1" applyBorder="1" applyAlignment="1">
      <alignment horizontal="center" vertical="center"/>
    </xf>
    <xf numFmtId="0" fontId="3" fillId="0" borderId="17" xfId="1" applyNumberFormat="1" applyFont="1" applyBorder="1" applyAlignment="1">
      <alignment horizontal="center" vertical="center"/>
    </xf>
    <xf numFmtId="0" fontId="3" fillId="0" borderId="18" xfId="1" applyNumberFormat="1" applyFont="1" applyBorder="1" applyAlignment="1">
      <alignment horizontal="center" vertical="center"/>
    </xf>
    <xf numFmtId="176" fontId="5" fillId="0" borderId="18" xfId="1" applyNumberFormat="1" applyFont="1" applyBorder="1" applyAlignment="1">
      <alignment horizontal="center" vertical="center"/>
    </xf>
    <xf numFmtId="0" fontId="3" fillId="0" borderId="18" xfId="1" applyNumberFormat="1" applyFont="1" applyFill="1" applyBorder="1" applyAlignment="1">
      <alignment horizontal="left" vertical="center"/>
    </xf>
    <xf numFmtId="0" fontId="3" fillId="0" borderId="19" xfId="1" applyNumberFormat="1" applyFont="1" applyFill="1" applyBorder="1" applyAlignment="1">
      <alignment horizontal="center" vertical="center"/>
    </xf>
    <xf numFmtId="0" fontId="6" fillId="2" borderId="7" xfId="1" applyNumberFormat="1" applyFont="1" applyFill="1" applyBorder="1" applyAlignment="1" applyProtection="1">
      <alignment horizontal="center" vertical="center" wrapText="1"/>
    </xf>
    <xf numFmtId="0" fontId="5" fillId="2" borderId="16" xfId="1" quotePrefix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9" fontId="5" fillId="0" borderId="18" xfId="1" applyNumberFormat="1" applyFont="1" applyBorder="1" applyAlignment="1">
      <alignment horizontal="center" vertical="center"/>
    </xf>
    <xf numFmtId="9" fontId="5" fillId="0" borderId="18" xfId="1" applyNumberFormat="1" applyFont="1" applyBorder="1" applyAlignment="1">
      <alignment horizontal="center" vertical="center" wrapText="1"/>
    </xf>
    <xf numFmtId="0" fontId="5" fillId="0" borderId="8" xfId="1" quotePrefix="1" applyNumberFormat="1" applyFont="1" applyBorder="1" applyAlignment="1">
      <alignment horizontal="center" vertical="center" wrapText="1"/>
    </xf>
    <xf numFmtId="49" fontId="5" fillId="2" borderId="7" xfId="1" applyNumberFormat="1" applyFont="1" applyFill="1" applyBorder="1" applyAlignment="1" applyProtection="1">
      <alignment horizontal="center" vertical="center" wrapText="1"/>
    </xf>
    <xf numFmtId="9" fontId="10" fillId="0" borderId="18" xfId="1" applyNumberFormat="1" applyFont="1" applyBorder="1" applyAlignment="1">
      <alignment horizontal="center" vertical="center"/>
    </xf>
    <xf numFmtId="0" fontId="3" fillId="0" borderId="7" xfId="1" applyNumberFormat="1" applyFont="1" applyFill="1" applyBorder="1" applyAlignment="1">
      <alignment horizontal="center" vertical="center"/>
    </xf>
    <xf numFmtId="9" fontId="6" fillId="0" borderId="1" xfId="1" applyNumberFormat="1" applyFont="1" applyBorder="1" applyAlignment="1">
      <alignment horizontal="center" vertical="center"/>
    </xf>
    <xf numFmtId="0" fontId="5" fillId="2" borderId="6" xfId="1" applyNumberFormat="1" applyFont="1" applyFill="1" applyBorder="1" applyAlignment="1" applyProtection="1">
      <alignment horizontal="center" vertical="center" wrapText="1"/>
    </xf>
    <xf numFmtId="0" fontId="11" fillId="2" borderId="8" xfId="1" applyNumberFormat="1" applyFont="1" applyFill="1" applyBorder="1" applyAlignment="1" applyProtection="1">
      <alignment horizontal="center" vertical="center" wrapText="1"/>
    </xf>
    <xf numFmtId="0" fontId="30" fillId="0" borderId="8" xfId="1" applyNumberFormat="1" applyFont="1" applyBorder="1">
      <alignment vertical="center"/>
    </xf>
    <xf numFmtId="0" fontId="11" fillId="2" borderId="1" xfId="1" applyNumberFormat="1" applyFont="1" applyFill="1" applyBorder="1" applyAlignment="1" applyProtection="1">
      <alignment horizontal="center" vertical="center"/>
    </xf>
    <xf numFmtId="0" fontId="11" fillId="0" borderId="7" xfId="1" applyNumberFormat="1" applyFont="1" applyBorder="1" applyAlignment="1">
      <alignment horizontal="center" vertical="center"/>
    </xf>
    <xf numFmtId="0" fontId="11" fillId="0" borderId="1" xfId="1" applyNumberFormat="1" applyFont="1" applyBorder="1" applyAlignment="1">
      <alignment horizontal="left" vertical="center"/>
    </xf>
    <xf numFmtId="0" fontId="11" fillId="0" borderId="1" xfId="1" applyNumberFormat="1" applyFont="1" applyBorder="1" applyAlignment="1">
      <alignment horizontal="center" vertical="center" shrinkToFit="1"/>
    </xf>
    <xf numFmtId="0" fontId="11" fillId="0" borderId="16" xfId="1" applyNumberFormat="1" applyFont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15" xfId="1" applyNumberFormat="1" applyFont="1" applyFill="1" applyBorder="1" applyAlignment="1" applyProtection="1">
      <alignment horizontal="center" vertical="center"/>
    </xf>
    <xf numFmtId="0" fontId="11" fillId="0" borderId="1" xfId="1" applyFont="1" applyFill="1" applyBorder="1" applyAlignment="1">
      <alignment horizontal="left" vertical="center"/>
    </xf>
    <xf numFmtId="0" fontId="11" fillId="2" borderId="16" xfId="1" applyFont="1" applyFill="1" applyBorder="1" applyAlignment="1">
      <alignment horizontal="center" vertical="center"/>
    </xf>
    <xf numFmtId="0" fontId="30" fillId="0" borderId="7" xfId="1" applyNumberFormat="1" applyFont="1" applyBorder="1" applyAlignment="1">
      <alignment horizontal="center" vertical="center"/>
    </xf>
    <xf numFmtId="0" fontId="30" fillId="0" borderId="1" xfId="1" applyNumberFormat="1" applyFont="1" applyBorder="1" applyAlignment="1">
      <alignment horizontal="left" vertical="center"/>
    </xf>
    <xf numFmtId="0" fontId="30" fillId="0" borderId="1" xfId="1" applyNumberFormat="1" applyFont="1" applyBorder="1" applyAlignment="1">
      <alignment horizontal="center" vertical="center" wrapText="1"/>
    </xf>
    <xf numFmtId="0" fontId="30" fillId="0" borderId="16" xfId="1" applyNumberFormat="1" applyFont="1" applyBorder="1" applyAlignment="1">
      <alignment horizontal="center" vertical="center"/>
    </xf>
    <xf numFmtId="0" fontId="34" fillId="0" borderId="1" xfId="7" applyNumberFormat="1" applyBorder="1" applyAlignment="1">
      <alignment horizontal="center" vertical="center" wrapText="1" shrinkToFit="1"/>
    </xf>
    <xf numFmtId="0" fontId="34" fillId="2" borderId="1" xfId="7" quotePrefix="1" applyFill="1" applyBorder="1" applyAlignment="1">
      <alignment horizontal="center" vertical="center" wrapText="1"/>
    </xf>
    <xf numFmtId="0" fontId="34" fillId="2" borderId="1" xfId="7" applyFill="1" applyBorder="1" applyAlignment="1">
      <alignment horizontal="center" vertical="center" wrapText="1"/>
    </xf>
    <xf numFmtId="0" fontId="34" fillId="0" borderId="1" xfId="7" applyNumberFormat="1" applyBorder="1" applyAlignment="1">
      <alignment horizontal="center" vertical="center"/>
    </xf>
    <xf numFmtId="0" fontId="34" fillId="0" borderId="0" xfId="7" applyNumberFormat="1" applyFill="1" applyAlignment="1">
      <alignment horizontal="left" vertical="center"/>
    </xf>
    <xf numFmtId="0" fontId="35" fillId="3" borderId="13" xfId="1" applyNumberFormat="1" applyFont="1" applyFill="1" applyBorder="1" applyAlignment="1">
      <alignment horizontal="center" vertical="center" shrinkToFit="1"/>
    </xf>
    <xf numFmtId="0" fontId="23" fillId="2" borderId="1" xfId="7" quotePrefix="1" applyNumberFormat="1" applyFont="1" applyFill="1" applyBorder="1" applyAlignment="1" applyProtection="1">
      <alignment horizontal="center" vertical="center" wrapText="1"/>
    </xf>
    <xf numFmtId="0" fontId="3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 shrinkToFit="1"/>
    </xf>
    <xf numFmtId="0" fontId="5" fillId="0" borderId="16" xfId="1" applyFont="1" applyBorder="1" applyAlignment="1">
      <alignment horizontal="center" vertical="center" wrapText="1"/>
    </xf>
    <xf numFmtId="0" fontId="36" fillId="0" borderId="1" xfId="1" quotePrefix="1" applyFont="1" applyBorder="1" applyAlignment="1">
      <alignment horizontal="center" vertical="center" wrapText="1"/>
    </xf>
    <xf numFmtId="0" fontId="5" fillId="0" borderId="1" xfId="1" quotePrefix="1" applyFont="1" applyBorder="1" applyAlignment="1">
      <alignment horizontal="center" vertical="center" wrapText="1" shrinkToFit="1"/>
    </xf>
    <xf numFmtId="0" fontId="5" fillId="0" borderId="16" xfId="1" quotePrefix="1" applyFont="1" applyBorder="1" applyAlignment="1">
      <alignment horizontal="center" vertical="center" wrapText="1"/>
    </xf>
    <xf numFmtId="0" fontId="36" fillId="2" borderId="1" xfId="1" quotePrefix="1" applyFont="1" applyFill="1" applyBorder="1" applyAlignment="1">
      <alignment horizontal="center" vertical="center" wrapText="1"/>
    </xf>
    <xf numFmtId="0" fontId="36" fillId="2" borderId="1" xfId="1" applyFont="1" applyFill="1" applyBorder="1" applyAlignment="1">
      <alignment horizontal="center" vertical="center" wrapText="1"/>
    </xf>
    <xf numFmtId="0" fontId="36" fillId="2" borderId="18" xfId="1" quotePrefix="1" applyFont="1" applyFill="1" applyBorder="1" applyAlignment="1">
      <alignment horizontal="center" vertical="center" wrapText="1"/>
    </xf>
    <xf numFmtId="0" fontId="5" fillId="2" borderId="18" xfId="1" quotePrefix="1" applyFont="1" applyFill="1" applyBorder="1" applyAlignment="1">
      <alignment horizontal="center" vertical="center" wrapText="1"/>
    </xf>
    <xf numFmtId="0" fontId="5" fillId="2" borderId="19" xfId="1" quotePrefix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9" fontId="5" fillId="0" borderId="4" xfId="1" applyNumberFormat="1" applyFont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 wrapText="1"/>
    </xf>
    <xf numFmtId="0" fontId="25" fillId="9" borderId="0" xfId="0" applyNumberFormat="1" applyFont="1" applyFill="1" applyAlignment="1">
      <alignment horizontal="center" vertical="center"/>
    </xf>
    <xf numFmtId="0" fontId="24" fillId="9" borderId="0" xfId="0" applyNumberFormat="1" applyFont="1" applyFill="1" applyAlignment="1">
      <alignment horizontal="center" vertical="center"/>
    </xf>
    <xf numFmtId="0" fontId="20" fillId="7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/>
    </xf>
    <xf numFmtId="0" fontId="0" fillId="10" borderId="1" xfId="0" applyNumberFormat="1" applyFill="1" applyBorder="1" applyAlignment="1">
      <alignment horizontal="center" vertical="center"/>
    </xf>
    <xf numFmtId="0" fontId="2" fillId="11" borderId="1" xfId="0" applyNumberFormat="1" applyFon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0" fontId="2" fillId="12" borderId="1" xfId="0" applyNumberFormat="1" applyFont="1" applyFill="1" applyBorder="1" applyAlignment="1">
      <alignment horizontal="center" vertical="center"/>
    </xf>
    <xf numFmtId="0" fontId="0" fillId="12" borderId="1" xfId="0" applyNumberFormat="1" applyFill="1" applyBorder="1" applyAlignment="1">
      <alignment horizontal="center" vertical="center"/>
    </xf>
    <xf numFmtId="0" fontId="2" fillId="13" borderId="1" xfId="0" applyNumberFormat="1" applyFont="1" applyFill="1" applyBorder="1" applyAlignment="1">
      <alignment horizontal="center" vertical="center"/>
    </xf>
    <xf numFmtId="0" fontId="0" fillId="13" borderId="1" xfId="0" applyNumberForma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/>
    </xf>
    <xf numFmtId="0" fontId="0" fillId="8" borderId="1" xfId="0" applyNumberFormat="1" applyFill="1" applyBorder="1" applyAlignment="1">
      <alignment horizontal="center" vertical="center"/>
    </xf>
    <xf numFmtId="0" fontId="23" fillId="14" borderId="1" xfId="0" applyNumberFormat="1" applyFont="1" applyFill="1" applyBorder="1" applyAlignment="1">
      <alignment horizontal="center" vertical="center"/>
    </xf>
    <xf numFmtId="0" fontId="17" fillId="6" borderId="32" xfId="0" applyNumberFormat="1" applyFont="1" applyFill="1" applyBorder="1" applyAlignment="1">
      <alignment horizontal="center" vertical="center" wrapText="1"/>
    </xf>
    <xf numFmtId="0" fontId="27" fillId="4" borderId="0" xfId="0" applyNumberFormat="1" applyFont="1" applyFill="1" applyAlignment="1">
      <alignment horizontal="center" vertical="center"/>
    </xf>
    <xf numFmtId="0" fontId="27" fillId="4" borderId="34" xfId="0" applyNumberFormat="1" applyFont="1" applyFill="1" applyBorder="1" applyAlignment="1">
      <alignment horizontal="center" vertical="center"/>
    </xf>
    <xf numFmtId="0" fontId="2" fillId="16" borderId="1" xfId="0" applyNumberFormat="1" applyFont="1" applyFill="1" applyBorder="1" applyAlignment="1">
      <alignment horizontal="center" vertical="center"/>
    </xf>
    <xf numFmtId="0" fontId="0" fillId="16" borderId="1" xfId="0" applyNumberFormat="1" applyFill="1" applyBorder="1" applyAlignment="1">
      <alignment horizontal="center" vertical="center"/>
    </xf>
    <xf numFmtId="0" fontId="2" fillId="15" borderId="1" xfId="0" applyNumberFormat="1" applyFont="1" applyFill="1" applyBorder="1" applyAlignment="1">
      <alignment horizontal="center" vertical="center"/>
    </xf>
    <xf numFmtId="0" fontId="0" fillId="15" borderId="1" xfId="0" applyNumberFormat="1" applyFill="1" applyBorder="1" applyAlignment="1">
      <alignment horizontal="center" vertical="center"/>
    </xf>
    <xf numFmtId="0" fontId="25" fillId="9" borderId="36" xfId="0" applyNumberFormat="1" applyFont="1" applyFill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 wrapText="1"/>
    </xf>
    <xf numFmtId="178" fontId="2" fillId="0" borderId="25" xfId="0" applyNumberFormat="1" applyFont="1" applyBorder="1" applyAlignment="1">
      <alignment horizontal="center" vertical="center" wrapText="1"/>
    </xf>
    <xf numFmtId="10" fontId="2" fillId="0" borderId="37" xfId="0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 vertical="center" wrapText="1"/>
    </xf>
    <xf numFmtId="0" fontId="4" fillId="4" borderId="10" xfId="1" applyNumberFormat="1" applyFont="1" applyFill="1" applyBorder="1" applyAlignment="1">
      <alignment horizontal="center" vertical="center"/>
    </xf>
    <xf numFmtId="0" fontId="4" fillId="4" borderId="11" xfId="1" applyNumberFormat="1" applyFont="1" applyFill="1" applyBorder="1" applyAlignment="1">
      <alignment horizontal="center" vertical="center"/>
    </xf>
    <xf numFmtId="0" fontId="4" fillId="4" borderId="3" xfId="1" applyNumberFormat="1" applyFont="1" applyFill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 wrapText="1"/>
    </xf>
    <xf numFmtId="0" fontId="3" fillId="0" borderId="26" xfId="1" applyNumberFormat="1" applyFont="1" applyFill="1" applyBorder="1" applyAlignment="1">
      <alignment horizontal="center" vertical="center"/>
    </xf>
    <xf numFmtId="0" fontId="3" fillId="0" borderId="27" xfId="1" applyNumberFormat="1" applyFont="1" applyFill="1" applyBorder="1" applyAlignment="1">
      <alignment horizontal="center" vertical="center"/>
    </xf>
    <xf numFmtId="0" fontId="7" fillId="3" borderId="13" xfId="1" applyNumberFormat="1" applyFont="1" applyFill="1" applyBorder="1" applyAlignment="1">
      <alignment horizontal="center" vertical="center" shrinkToFit="1"/>
    </xf>
    <xf numFmtId="0" fontId="3" fillId="0" borderId="7" xfId="1" applyNumberFormat="1" applyFont="1" applyBorder="1" applyAlignment="1">
      <alignment horizontal="center" vertical="center"/>
    </xf>
    <xf numFmtId="0" fontId="3" fillId="0" borderId="8" xfId="1" applyNumberFormat="1" applyFont="1" applyBorder="1" applyAlignment="1">
      <alignment horizontal="center" vertical="center"/>
    </xf>
    <xf numFmtId="0" fontId="3" fillId="4" borderId="7" xfId="1" applyNumberFormat="1" applyFont="1" applyFill="1" applyBorder="1" applyAlignment="1">
      <alignment horizontal="center" vertical="center"/>
    </xf>
    <xf numFmtId="0" fontId="3" fillId="4" borderId="8" xfId="1" applyNumberFormat="1" applyFont="1" applyFill="1" applyBorder="1" applyAlignment="1">
      <alignment horizontal="center" vertical="center"/>
    </xf>
    <xf numFmtId="0" fontId="4" fillId="4" borderId="2" xfId="1" applyNumberFormat="1" applyFont="1" applyFill="1" applyBorder="1" applyAlignment="1">
      <alignment horizontal="center" vertical="center"/>
    </xf>
    <xf numFmtId="0" fontId="5" fillId="2" borderId="6" xfId="1" applyNumberFormat="1" applyFont="1" applyFill="1" applyBorder="1" applyAlignment="1" applyProtection="1">
      <alignment horizontal="center" vertical="center" wrapText="1"/>
    </xf>
    <xf numFmtId="0" fontId="5" fillId="2" borderId="5" xfId="1" applyNumberFormat="1" applyFont="1" applyFill="1" applyBorder="1" applyAlignment="1" applyProtection="1">
      <alignment horizontal="center" vertical="center" wrapText="1"/>
    </xf>
    <xf numFmtId="0" fontId="5" fillId="2" borderId="4" xfId="1" applyNumberFormat="1" applyFont="1" applyFill="1" applyBorder="1" applyAlignment="1" applyProtection="1">
      <alignment horizontal="center" vertical="center" wrapText="1"/>
    </xf>
    <xf numFmtId="0" fontId="5" fillId="2" borderId="6" xfId="2" applyNumberFormat="1" applyFont="1" applyFill="1" applyBorder="1" applyAlignment="1" applyProtection="1">
      <alignment horizontal="center" vertical="center" wrapText="1"/>
    </xf>
    <xf numFmtId="0" fontId="5" fillId="2" borderId="5" xfId="2" applyNumberFormat="1" applyFont="1" applyFill="1" applyBorder="1" applyAlignment="1" applyProtection="1">
      <alignment horizontal="center" vertical="center" wrapText="1"/>
    </xf>
    <xf numFmtId="0" fontId="5" fillId="2" borderId="4" xfId="2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7" fillId="3" borderId="21" xfId="1" applyNumberFormat="1" applyFont="1" applyFill="1" applyBorder="1" applyAlignment="1">
      <alignment horizontal="center" vertical="center" shrinkToFit="1"/>
    </xf>
    <xf numFmtId="0" fontId="2" fillId="0" borderId="6" xfId="1" applyNumberFormat="1" applyFont="1" applyBorder="1" applyAlignment="1">
      <alignment horizontal="center" vertical="center" wrapText="1"/>
    </xf>
    <xf numFmtId="0" fontId="2" fillId="0" borderId="5" xfId="1" applyNumberFormat="1" applyFont="1" applyBorder="1" applyAlignment="1">
      <alignment horizontal="center" vertical="center" wrapText="1"/>
    </xf>
    <xf numFmtId="0" fontId="2" fillId="0" borderId="4" xfId="1" applyNumberFormat="1" applyFont="1" applyBorder="1" applyAlignment="1">
      <alignment horizontal="center" vertical="center" wrapText="1"/>
    </xf>
    <xf numFmtId="9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0" fillId="7" borderId="7" xfId="0" applyNumberFormat="1" applyFont="1" applyFill="1" applyBorder="1" applyAlignment="1">
      <alignment horizontal="center" vertical="center" wrapText="1"/>
    </xf>
    <xf numFmtId="0" fontId="20" fillId="7" borderId="8" xfId="0" applyNumberFormat="1" applyFont="1" applyFill="1" applyBorder="1" applyAlignment="1">
      <alignment horizontal="center" vertical="center" wrapText="1"/>
    </xf>
    <xf numFmtId="0" fontId="21" fillId="0" borderId="6" xfId="0" applyNumberFormat="1" applyFont="1" applyBorder="1" applyAlignment="1">
      <alignment horizontal="center" vertical="center" wrapText="1"/>
    </xf>
    <xf numFmtId="0" fontId="21" fillId="0" borderId="5" xfId="0" applyNumberFormat="1" applyFont="1" applyBorder="1" applyAlignment="1">
      <alignment horizontal="center" vertical="center" wrapText="1"/>
    </xf>
    <xf numFmtId="0" fontId="21" fillId="0" borderId="4" xfId="0" applyNumberFormat="1" applyFont="1" applyBorder="1" applyAlignment="1">
      <alignment horizontal="center" vertical="center" wrapText="1"/>
    </xf>
    <xf numFmtId="0" fontId="2" fillId="2" borderId="6" xfId="1" applyNumberFormat="1" applyFont="1" applyFill="1" applyBorder="1" applyAlignment="1">
      <alignment horizontal="center" vertical="center" wrapText="1"/>
    </xf>
    <xf numFmtId="0" fontId="2" fillId="2" borderId="5" xfId="1" applyNumberFormat="1" applyFont="1" applyFill="1" applyBorder="1" applyAlignment="1">
      <alignment horizontal="center" vertical="center" wrapText="1"/>
    </xf>
    <xf numFmtId="0" fontId="2" fillId="2" borderId="4" xfId="1" applyNumberFormat="1" applyFont="1" applyFill="1" applyBorder="1" applyAlignment="1">
      <alignment horizontal="center" vertical="center" wrapText="1"/>
    </xf>
    <xf numFmtId="0" fontId="3" fillId="0" borderId="37" xfId="1" applyNumberFormat="1" applyFont="1" applyBorder="1" applyAlignment="1">
      <alignment horizontal="center" vertical="center"/>
    </xf>
  </cellXfs>
  <cellStyles count="8">
    <cellStyle name="백분율" xfId="5" builtinId="5"/>
    <cellStyle name="쉼표 [0]" xfId="2" builtinId="6"/>
    <cellStyle name="쉼표 [0] 2" xfId="3" xr:uid="{00000000-0005-0000-0000-000030000000}"/>
    <cellStyle name="쉼표 [0] 3" xfId="4" xr:uid="{00000000-0005-0000-0000-000031000000}"/>
    <cellStyle name="쉼표 [0] 4" xfId="6" xr:uid="{00000000-0005-0000-0000-000032000000}"/>
    <cellStyle name="표준" xfId="0" builtinId="0"/>
    <cellStyle name="표준 2" xfId="1" xr:uid="{00000000-0005-0000-0000-000001000000}"/>
    <cellStyle name="하이퍼링크" xfId="7" builtinId="8"/>
  </cellStyles>
  <dxfs count="0"/>
  <tableStyles count="0" defaultTableStyle="TableStyleMedium9" defaultPivotStyle="PivotStyleLight16"/>
  <colors>
    <mruColors>
      <color rgb="FF808080"/>
      <color rgb="FF392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erp.gsfmc.or.kr/" TargetMode="External"/><Relationship Id="rId7" Type="http://schemas.openxmlformats.org/officeDocument/2006/relationships/hyperlink" Target="https://erp.gsfmc.or.kr/" TargetMode="External"/><Relationship Id="rId2" Type="http://schemas.openxmlformats.org/officeDocument/2006/relationships/hyperlink" Target="https://erp.gsfmc.or.kr/" TargetMode="External"/><Relationship Id="rId1" Type="http://schemas.openxmlformats.org/officeDocument/2006/relationships/hyperlink" Target="https://erp.gsfmc.or.kr/" TargetMode="External"/><Relationship Id="rId6" Type="http://schemas.openxmlformats.org/officeDocument/2006/relationships/hyperlink" Target="https://erp.gsfmc.or.kr/" TargetMode="External"/><Relationship Id="rId5" Type="http://schemas.openxmlformats.org/officeDocument/2006/relationships/hyperlink" Target="https://erp.gsfmc.or.kr/" TargetMode="External"/><Relationship Id="rId10" Type="http://schemas.openxmlformats.org/officeDocument/2006/relationships/comments" Target="../comments2.xml"/><Relationship Id="rId4" Type="http://schemas.openxmlformats.org/officeDocument/2006/relationships/hyperlink" Target="https://erp.gsfmc.or.kr/" TargetMode="External"/><Relationship Id="rId9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C409-6A5F-4D4F-8EE5-09758109DCDC}">
  <dimension ref="A1:P189"/>
  <sheetViews>
    <sheetView tabSelected="1" view="pageBreakPreview" topLeftCell="H1" zoomScale="142" zoomScaleNormal="100" zoomScaleSheetLayoutView="142" workbookViewId="0">
      <selection activeCell="O17" sqref="O17"/>
    </sheetView>
  </sheetViews>
  <sheetFormatPr defaultRowHeight="16.5"/>
  <cols>
    <col min="1" max="1" width="13" hidden="1" customWidth="1"/>
    <col min="2" max="2" width="22" hidden="1" customWidth="1"/>
    <col min="3" max="3" width="0" hidden="1" customWidth="1"/>
    <col min="4" max="4" width="23.125" hidden="1" customWidth="1"/>
    <col min="5" max="7" width="0" hidden="1" customWidth="1"/>
    <col min="8" max="8" width="13.125" customWidth="1"/>
    <col min="9" max="12" width="7.75" bestFit="1" customWidth="1"/>
    <col min="13" max="13" width="8.625" bestFit="1" customWidth="1"/>
    <col min="14" max="14" width="7.75" bestFit="1" customWidth="1"/>
    <col min="15" max="15" width="8.5" bestFit="1" customWidth="1"/>
    <col min="16" max="16" width="6.5" bestFit="1" customWidth="1"/>
  </cols>
  <sheetData>
    <row r="1" spans="1:16" ht="16.5" customHeight="1">
      <c r="A1" s="379" t="s">
        <v>198</v>
      </c>
      <c r="B1" s="380"/>
      <c r="C1" s="380"/>
      <c r="D1" s="380"/>
      <c r="E1" s="380"/>
      <c r="H1" s="395" t="s">
        <v>205</v>
      </c>
      <c r="I1" s="395"/>
      <c r="J1" s="395"/>
      <c r="K1" s="395"/>
      <c r="L1" s="395"/>
      <c r="M1" s="395"/>
      <c r="N1" s="395"/>
      <c r="O1" s="395"/>
      <c r="P1" s="395"/>
    </row>
    <row r="2" spans="1:16">
      <c r="A2" s="380"/>
      <c r="B2" s="380"/>
      <c r="C2" s="380"/>
      <c r="D2" s="380"/>
      <c r="E2" s="380"/>
      <c r="H2" s="396"/>
      <c r="I2" s="396"/>
      <c r="J2" s="396"/>
      <c r="K2" s="396"/>
      <c r="L2" s="396"/>
      <c r="M2" s="396"/>
      <c r="N2" s="396"/>
      <c r="O2" s="396"/>
      <c r="P2" s="396"/>
    </row>
    <row r="3" spans="1:16">
      <c r="A3" s="380"/>
      <c r="B3" s="380"/>
      <c r="C3" s="380"/>
      <c r="D3" s="380"/>
      <c r="E3" s="380"/>
      <c r="F3" s="77"/>
      <c r="G3" s="77"/>
      <c r="H3" s="79" t="s">
        <v>62</v>
      </c>
      <c r="I3" s="80" t="s">
        <v>418</v>
      </c>
      <c r="J3" s="80" t="s">
        <v>419</v>
      </c>
      <c r="K3" s="80" t="s">
        <v>192</v>
      </c>
      <c r="L3" s="80" t="s">
        <v>420</v>
      </c>
      <c r="M3" s="80" t="s">
        <v>194</v>
      </c>
      <c r="N3" s="80" t="s">
        <v>195</v>
      </c>
      <c r="O3" s="80" t="s">
        <v>196</v>
      </c>
      <c r="P3" s="81" t="s">
        <v>421</v>
      </c>
    </row>
    <row r="4" spans="1:16">
      <c r="A4" s="87" t="s">
        <v>199</v>
      </c>
      <c r="B4" s="381" t="s">
        <v>63</v>
      </c>
      <c r="C4" s="381"/>
      <c r="D4" s="381" t="s">
        <v>186</v>
      </c>
      <c r="E4" s="381"/>
      <c r="F4" s="77"/>
      <c r="G4" s="77"/>
      <c r="H4" s="82" t="s">
        <v>150</v>
      </c>
      <c r="I4" s="83">
        <f>경영지원팀!$B$60</f>
        <v>21</v>
      </c>
      <c r="J4" s="83">
        <f>소통혁신팀!$B$57</f>
        <v>14</v>
      </c>
      <c r="K4" s="83">
        <f>안전감사실!$B$58</f>
        <v>7</v>
      </c>
      <c r="L4" s="83">
        <f>문화체육팀!$B$60</f>
        <v>22</v>
      </c>
      <c r="M4" s="83">
        <f>교통사업팀!$B$60</f>
        <v>13</v>
      </c>
      <c r="N4" s="83">
        <f>환경지원팀!$B$60</f>
        <v>7</v>
      </c>
      <c r="O4" s="83">
        <f>환경사업팀!$B$59</f>
        <v>14</v>
      </c>
      <c r="P4" s="83">
        <f>행복나루!$B$57</f>
        <v>20</v>
      </c>
    </row>
    <row r="5" spans="1:16" ht="25.5" customHeight="1">
      <c r="A5" s="383" t="s">
        <v>190</v>
      </c>
      <c r="B5" s="382" t="s">
        <v>153</v>
      </c>
      <c r="C5" s="382">
        <f>경영지원팀!$B$38</f>
        <v>10</v>
      </c>
      <c r="D5" s="85" t="s">
        <v>157</v>
      </c>
      <c r="E5" s="86">
        <f>경영지원팀!D38</f>
        <v>0</v>
      </c>
      <c r="F5" s="77"/>
      <c r="G5" s="77"/>
      <c r="H5" s="82" t="s">
        <v>151</v>
      </c>
      <c r="I5" s="83">
        <f>COUNTIF(경영지원팀!$G$3:$G$28,"추진완료")</f>
        <v>2</v>
      </c>
      <c r="J5" s="83">
        <f>COUNTIF(소통혁신팀!$G$3:$G$25,"추진완료")</f>
        <v>4</v>
      </c>
      <c r="K5" s="83">
        <f>COUNTIF(안전감사실!$G$3:$G$26,"추진완료")</f>
        <v>0</v>
      </c>
      <c r="L5" s="83">
        <f>COUNTIF(문화체육팀!$G$3:$G$28,"추진완료")</f>
        <v>2</v>
      </c>
      <c r="M5" s="83">
        <f>COUNTIF(교통사업팀!$G$3:$G$28,"추진완료")</f>
        <v>5</v>
      </c>
      <c r="N5" s="83">
        <f>COUNTIF(환경지원팀!$G$3:$G$28,"추진완료")</f>
        <v>3</v>
      </c>
      <c r="O5" s="83">
        <f>COUNTIF(환경사업팀!$G$3:$G$27,"추진완료")</f>
        <v>5</v>
      </c>
      <c r="P5" s="83">
        <f>COUNTIF(행복나루!$G$3:$G$25,"추진완료")</f>
        <v>1</v>
      </c>
    </row>
    <row r="6" spans="1:16" ht="25.5" customHeight="1">
      <c r="A6" s="384"/>
      <c r="B6" s="382"/>
      <c r="C6" s="382"/>
      <c r="D6" s="85" t="s">
        <v>158</v>
      </c>
      <c r="E6" s="86">
        <f>경영지원팀!D39</f>
        <v>3</v>
      </c>
      <c r="F6" s="77"/>
      <c r="G6" s="77"/>
      <c r="H6" s="82" t="s">
        <v>470</v>
      </c>
      <c r="I6" s="84">
        <f>I5/I4</f>
        <v>9.5238095238095233E-2</v>
      </c>
      <c r="J6" s="84">
        <f t="shared" ref="J6:P6" si="0">J5/J4</f>
        <v>0.2857142857142857</v>
      </c>
      <c r="K6" s="84">
        <f t="shared" si="0"/>
        <v>0</v>
      </c>
      <c r="L6" s="84">
        <f t="shared" si="0"/>
        <v>9.0909090909090912E-2</v>
      </c>
      <c r="M6" s="84">
        <f t="shared" si="0"/>
        <v>0.38461538461538464</v>
      </c>
      <c r="N6" s="84">
        <f t="shared" si="0"/>
        <v>0.42857142857142855</v>
      </c>
      <c r="O6" s="84">
        <f t="shared" si="0"/>
        <v>0.35714285714285715</v>
      </c>
      <c r="P6" s="84">
        <f t="shared" si="0"/>
        <v>0.05</v>
      </c>
    </row>
    <row r="7" spans="1:16" ht="16.5" customHeight="1">
      <c r="A7" s="384"/>
      <c r="B7" s="382"/>
      <c r="C7" s="382"/>
      <c r="D7" s="85" t="s">
        <v>159</v>
      </c>
      <c r="E7" s="86">
        <f>경영지원팀!D40</f>
        <v>5</v>
      </c>
      <c r="F7" s="77"/>
      <c r="G7" s="77"/>
      <c r="H7" s="98"/>
      <c r="I7" s="97" t="s">
        <v>203</v>
      </c>
      <c r="J7" s="100">
        <f>SUM(I4:P4)</f>
        <v>118</v>
      </c>
      <c r="K7" s="95" t="s">
        <v>201</v>
      </c>
      <c r="L7" s="100">
        <f>SUM(I5:P5)</f>
        <v>22</v>
      </c>
      <c r="M7" s="99" t="s">
        <v>204</v>
      </c>
      <c r="N7" s="97" t="s">
        <v>417</v>
      </c>
      <c r="O7" s="101">
        <f>AVERAGE(I6:P6)</f>
        <v>0.2115238927738928</v>
      </c>
      <c r="P7" s="96"/>
    </row>
    <row r="8" spans="1:16">
      <c r="A8" s="384"/>
      <c r="B8" s="382"/>
      <c r="C8" s="382"/>
      <c r="D8" s="85" t="s">
        <v>160</v>
      </c>
      <c r="E8" s="86">
        <f>경영지원팀!D40</f>
        <v>5</v>
      </c>
      <c r="F8" s="77"/>
      <c r="G8" s="77"/>
      <c r="H8" s="82" t="s">
        <v>416</v>
      </c>
      <c r="I8" s="298">
        <f>경영지원팀!H31</f>
        <v>0.51428571428571435</v>
      </c>
      <c r="J8" s="298">
        <f>소통혁신팀!H23</f>
        <v>0.71142857142857152</v>
      </c>
      <c r="K8" s="298">
        <f>안전감사실!H14</f>
        <v>0.20000000000000004</v>
      </c>
      <c r="L8" s="298">
        <f>문화체육팀!H31</f>
        <v>0.54545454545454541</v>
      </c>
      <c r="M8" s="298">
        <f>교통사업팀!H20</f>
        <v>0.46153846153846156</v>
      </c>
      <c r="N8" s="298">
        <f>환경지원팀!H16</f>
        <v>0.74285714285714288</v>
      </c>
      <c r="O8" s="298">
        <f>환경사업팀!H20</f>
        <v>0.4642857142857143</v>
      </c>
      <c r="P8" s="298">
        <f>행복나루!H27</f>
        <v>0.61595</v>
      </c>
    </row>
    <row r="9" spans="1:16">
      <c r="A9" s="384"/>
      <c r="B9" s="382"/>
      <c r="C9" s="382"/>
      <c r="D9" s="85" t="s">
        <v>160</v>
      </c>
      <c r="E9" s="86">
        <f>경영지원팀!D41</f>
        <v>0</v>
      </c>
      <c r="F9" s="77"/>
      <c r="G9" s="77"/>
      <c r="H9" s="82" t="s">
        <v>152</v>
      </c>
      <c r="I9" s="102">
        <f>경영지원팀!H30</f>
        <v>52.631578947368418</v>
      </c>
      <c r="J9" s="102">
        <f>소통혁신팀!H22</f>
        <v>64.166666666666671</v>
      </c>
      <c r="K9" s="102">
        <f>안전감사실!H13</f>
        <v>19.499999999999996</v>
      </c>
      <c r="L9" s="102">
        <f>문화체육팀!H30</f>
        <v>55.666666666666664</v>
      </c>
      <c r="M9" s="102">
        <f>교통사업팀!H19</f>
        <v>41.666666666666671</v>
      </c>
      <c r="N9" s="102">
        <f>환경지원팀!H15</f>
        <v>68.888888888888886</v>
      </c>
      <c r="O9" s="102">
        <f>환경사업팀!H19</f>
        <v>39.583333333333329</v>
      </c>
      <c r="P9" s="102">
        <f>행복나루!H26</f>
        <v>63.528000000000006</v>
      </c>
    </row>
    <row r="10" spans="1:16">
      <c r="A10" s="384"/>
      <c r="B10" s="382"/>
      <c r="C10" s="382"/>
      <c r="D10" s="85" t="s">
        <v>161</v>
      </c>
      <c r="E10" s="86">
        <f>경영지원팀!D42</f>
        <v>1</v>
      </c>
      <c r="F10" s="77"/>
      <c r="G10" s="77"/>
      <c r="H10" s="98"/>
      <c r="I10" s="394" t="s">
        <v>202</v>
      </c>
      <c r="J10" s="394"/>
      <c r="K10" s="394"/>
      <c r="L10" s="299">
        <f>AVERAGE(I8:P8)</f>
        <v>0.53197501873126873</v>
      </c>
      <c r="M10" s="95" t="s">
        <v>422</v>
      </c>
      <c r="N10" s="95" t="s">
        <v>423</v>
      </c>
      <c r="O10" s="300">
        <f>AVERAGE(I9:P9)</f>
        <v>50.703975146198836</v>
      </c>
      <c r="P10" s="96" t="s">
        <v>424</v>
      </c>
    </row>
    <row r="11" spans="1:16">
      <c r="A11" s="384"/>
      <c r="B11" s="382"/>
      <c r="C11" s="382"/>
      <c r="D11" s="85" t="s">
        <v>162</v>
      </c>
      <c r="E11" s="86">
        <f>경영지원팀!D43</f>
        <v>1</v>
      </c>
      <c r="F11" s="77"/>
      <c r="G11" s="77"/>
    </row>
    <row r="12" spans="1:16" ht="25.5" customHeight="1">
      <c r="A12" s="384"/>
      <c r="B12" s="382" t="s">
        <v>154</v>
      </c>
      <c r="C12" s="382">
        <f>경영지원팀!$B$44</f>
        <v>8</v>
      </c>
      <c r="D12" s="85" t="s">
        <v>163</v>
      </c>
      <c r="E12" s="86">
        <f>경영지원팀!D44</f>
        <v>7</v>
      </c>
      <c r="F12" s="77"/>
      <c r="G12" s="77"/>
    </row>
    <row r="13" spans="1:16" ht="25.5" customHeight="1">
      <c r="A13" s="384"/>
      <c r="B13" s="382"/>
      <c r="C13" s="382"/>
      <c r="D13" s="85" t="s">
        <v>164</v>
      </c>
      <c r="E13" s="86">
        <f>경영지원팀!D45</f>
        <v>1</v>
      </c>
      <c r="F13" s="77"/>
      <c r="G13" s="77"/>
    </row>
    <row r="14" spans="1:16">
      <c r="A14" s="384"/>
      <c r="B14" s="382"/>
      <c r="C14" s="382"/>
      <c r="D14" s="85" t="s">
        <v>165</v>
      </c>
      <c r="E14" s="86">
        <f>경영지원팀!D46</f>
        <v>0</v>
      </c>
      <c r="F14" s="77"/>
      <c r="G14" s="77"/>
    </row>
    <row r="15" spans="1:16">
      <c r="A15" s="384"/>
      <c r="B15" s="382"/>
      <c r="C15" s="382"/>
      <c r="D15" s="85" t="s">
        <v>166</v>
      </c>
      <c r="E15" s="86">
        <f>경영지원팀!D47</f>
        <v>0</v>
      </c>
      <c r="F15" s="77"/>
      <c r="G15" s="77"/>
    </row>
    <row r="16" spans="1:16">
      <c r="A16" s="384"/>
      <c r="B16" s="382"/>
      <c r="C16" s="382"/>
      <c r="D16" s="85" t="s">
        <v>167</v>
      </c>
      <c r="E16" s="86">
        <f>경영지원팀!D48</f>
        <v>0</v>
      </c>
      <c r="F16" s="77"/>
      <c r="G16" s="77"/>
    </row>
    <row r="17" spans="1:7" ht="38.25" customHeight="1">
      <c r="A17" s="384"/>
      <c r="B17" s="382" t="s">
        <v>156</v>
      </c>
      <c r="C17" s="382">
        <f>경영지원팀!$B$49</f>
        <v>2</v>
      </c>
      <c r="D17" s="85" t="s">
        <v>168</v>
      </c>
      <c r="E17" s="86">
        <f>경영지원팀!D49</f>
        <v>0</v>
      </c>
      <c r="F17" s="77"/>
      <c r="G17" s="77"/>
    </row>
    <row r="18" spans="1:7" ht="38.25" customHeight="1">
      <c r="A18" s="384"/>
      <c r="B18" s="382"/>
      <c r="C18" s="382"/>
      <c r="D18" s="85" t="s">
        <v>169</v>
      </c>
      <c r="E18" s="86">
        <f>경영지원팀!D50</f>
        <v>0</v>
      </c>
      <c r="F18" s="77"/>
      <c r="G18" s="77"/>
    </row>
    <row r="19" spans="1:7">
      <c r="A19" s="384"/>
      <c r="B19" s="382"/>
      <c r="C19" s="382"/>
      <c r="D19" s="85" t="s">
        <v>170</v>
      </c>
      <c r="E19" s="86">
        <f>경영지원팀!D51</f>
        <v>0</v>
      </c>
      <c r="F19" s="77"/>
      <c r="G19" s="77"/>
    </row>
    <row r="20" spans="1:7">
      <c r="A20" s="384"/>
      <c r="B20" s="382"/>
      <c r="C20" s="382"/>
      <c r="D20" s="85" t="s">
        <v>178</v>
      </c>
      <c r="E20" s="86">
        <f>경영지원팀!D52</f>
        <v>2</v>
      </c>
      <c r="F20" s="77"/>
      <c r="G20" s="77"/>
    </row>
    <row r="21" spans="1:7">
      <c r="A21" s="384"/>
      <c r="B21" s="382"/>
      <c r="C21" s="382"/>
      <c r="D21" s="85" t="s">
        <v>171</v>
      </c>
      <c r="E21" s="86">
        <f>경영지원팀!D53</f>
        <v>0</v>
      </c>
      <c r="F21" s="77"/>
      <c r="G21" s="77"/>
    </row>
    <row r="22" spans="1:7">
      <c r="A22" s="384"/>
      <c r="B22" s="382" t="s">
        <v>155</v>
      </c>
      <c r="C22" s="382">
        <f>경영지원팀!$B$54</f>
        <v>1</v>
      </c>
      <c r="D22" s="85" t="s">
        <v>172</v>
      </c>
      <c r="E22" s="86">
        <f>경영지원팀!D54</f>
        <v>0</v>
      </c>
      <c r="F22" s="77"/>
      <c r="G22" s="77"/>
    </row>
    <row r="23" spans="1:7">
      <c r="A23" s="384"/>
      <c r="B23" s="382"/>
      <c r="C23" s="382"/>
      <c r="D23" s="85" t="s">
        <v>173</v>
      </c>
      <c r="E23" s="86">
        <f>경영지원팀!D55</f>
        <v>0</v>
      </c>
      <c r="F23" s="77"/>
      <c r="G23" s="77"/>
    </row>
    <row r="24" spans="1:7">
      <c r="A24" s="384"/>
      <c r="B24" s="382"/>
      <c r="C24" s="382"/>
      <c r="D24" s="85" t="s">
        <v>174</v>
      </c>
      <c r="E24" s="86">
        <f>경영지원팀!D56</f>
        <v>0</v>
      </c>
      <c r="F24" s="77"/>
      <c r="G24" s="77"/>
    </row>
    <row r="25" spans="1:7">
      <c r="A25" s="384"/>
      <c r="B25" s="382"/>
      <c r="C25" s="382"/>
      <c r="D25" s="85" t="s">
        <v>175</v>
      </c>
      <c r="E25" s="86">
        <f>경영지원팀!D57</f>
        <v>0</v>
      </c>
      <c r="F25" s="77"/>
      <c r="G25" s="77"/>
    </row>
    <row r="26" spans="1:7">
      <c r="A26" s="384"/>
      <c r="B26" s="382"/>
      <c r="C26" s="382"/>
      <c r="D26" s="85" t="s">
        <v>176</v>
      </c>
      <c r="E26" s="86">
        <f>경영지원팀!D58</f>
        <v>0</v>
      </c>
      <c r="F26" s="77"/>
      <c r="G26" s="77"/>
    </row>
    <row r="27" spans="1:7">
      <c r="A27" s="384"/>
      <c r="B27" s="382"/>
      <c r="C27" s="382"/>
      <c r="D27" s="85" t="s">
        <v>177</v>
      </c>
      <c r="E27" s="86">
        <f>경영지원팀!D59</f>
        <v>1</v>
      </c>
      <c r="F27" s="77"/>
      <c r="G27" s="77"/>
    </row>
    <row r="28" spans="1:7">
      <c r="A28" s="384"/>
      <c r="B28" s="93" t="s">
        <v>189</v>
      </c>
      <c r="C28" s="94">
        <f>SUM(C5:C27)</f>
        <v>21</v>
      </c>
      <c r="D28" s="93" t="s">
        <v>189</v>
      </c>
      <c r="E28" s="94">
        <f>SUM(E5:E27)</f>
        <v>26</v>
      </c>
      <c r="F28" s="77"/>
      <c r="G28" s="77"/>
    </row>
    <row r="29" spans="1:7">
      <c r="A29" s="385" t="s">
        <v>191</v>
      </c>
      <c r="B29" s="382" t="s">
        <v>153</v>
      </c>
      <c r="C29" s="382">
        <f>소통혁신팀!$B$35</f>
        <v>7</v>
      </c>
      <c r="D29" s="85" t="s">
        <v>157</v>
      </c>
      <c r="E29" s="86">
        <f>소통혁신팀!$D35</f>
        <v>1</v>
      </c>
      <c r="F29" s="77"/>
      <c r="G29" s="77"/>
    </row>
    <row r="30" spans="1:7">
      <c r="A30" s="386"/>
      <c r="B30" s="382"/>
      <c r="C30" s="382"/>
      <c r="D30" s="85" t="s">
        <v>158</v>
      </c>
      <c r="E30" s="86">
        <f>소통혁신팀!$D36</f>
        <v>3</v>
      </c>
      <c r="F30" s="77"/>
      <c r="G30" s="77"/>
    </row>
    <row r="31" spans="1:7">
      <c r="A31" s="386"/>
      <c r="B31" s="382"/>
      <c r="C31" s="382"/>
      <c r="D31" s="85" t="s">
        <v>159</v>
      </c>
      <c r="E31" s="86">
        <f>소통혁신팀!$D37</f>
        <v>2</v>
      </c>
      <c r="F31" s="77"/>
      <c r="G31" s="77"/>
    </row>
    <row r="32" spans="1:7">
      <c r="A32" s="386"/>
      <c r="B32" s="382"/>
      <c r="C32" s="382"/>
      <c r="D32" s="85" t="s">
        <v>160</v>
      </c>
      <c r="E32" s="86">
        <f>소통혁신팀!$D38</f>
        <v>0</v>
      </c>
      <c r="F32" s="77"/>
      <c r="G32" s="77"/>
    </row>
    <row r="33" spans="1:7">
      <c r="A33" s="386"/>
      <c r="B33" s="382"/>
      <c r="C33" s="382"/>
      <c r="D33" s="85" t="s">
        <v>161</v>
      </c>
      <c r="E33" s="86">
        <f>소통혁신팀!$D39</f>
        <v>0</v>
      </c>
      <c r="F33" s="77"/>
      <c r="G33" s="77"/>
    </row>
    <row r="34" spans="1:7">
      <c r="A34" s="386"/>
      <c r="B34" s="382"/>
      <c r="C34" s="382"/>
      <c r="D34" s="85" t="s">
        <v>162</v>
      </c>
      <c r="E34" s="86">
        <f>소통혁신팀!$D40</f>
        <v>1</v>
      </c>
      <c r="F34" s="77"/>
      <c r="G34" s="77"/>
    </row>
    <row r="35" spans="1:7">
      <c r="A35" s="386"/>
      <c r="B35" s="382" t="s">
        <v>154</v>
      </c>
      <c r="C35" s="382">
        <f>소통혁신팀!$B$41</f>
        <v>5</v>
      </c>
      <c r="D35" s="85" t="s">
        <v>163</v>
      </c>
      <c r="E35" s="86">
        <f>소통혁신팀!$D41</f>
        <v>2</v>
      </c>
      <c r="F35" s="77"/>
      <c r="G35" s="77"/>
    </row>
    <row r="36" spans="1:7">
      <c r="A36" s="386"/>
      <c r="B36" s="382"/>
      <c r="C36" s="382"/>
      <c r="D36" s="85" t="s">
        <v>164</v>
      </c>
      <c r="E36" s="86">
        <f>소통혁신팀!$D42</f>
        <v>0</v>
      </c>
      <c r="F36" s="77"/>
      <c r="G36" s="77"/>
    </row>
    <row r="37" spans="1:7">
      <c r="A37" s="386"/>
      <c r="B37" s="382"/>
      <c r="C37" s="382"/>
      <c r="D37" s="85" t="s">
        <v>165</v>
      </c>
      <c r="E37" s="86">
        <f>소통혁신팀!$D43</f>
        <v>3</v>
      </c>
      <c r="F37" s="77"/>
      <c r="G37" s="77"/>
    </row>
    <row r="38" spans="1:7">
      <c r="A38" s="386"/>
      <c r="B38" s="382"/>
      <c r="C38" s="382"/>
      <c r="D38" s="85" t="s">
        <v>166</v>
      </c>
      <c r="E38" s="86">
        <f>소통혁신팀!$D44</f>
        <v>0</v>
      </c>
      <c r="F38" s="77"/>
      <c r="G38" s="77"/>
    </row>
    <row r="39" spans="1:7">
      <c r="A39" s="386"/>
      <c r="B39" s="382"/>
      <c r="C39" s="382"/>
      <c r="D39" s="85" t="s">
        <v>167</v>
      </c>
      <c r="E39" s="86">
        <f>소통혁신팀!$D45</f>
        <v>0</v>
      </c>
      <c r="F39" s="77"/>
      <c r="G39" s="77"/>
    </row>
    <row r="40" spans="1:7">
      <c r="A40" s="386"/>
      <c r="B40" s="382" t="s">
        <v>156</v>
      </c>
      <c r="C40" s="382">
        <f>소통혁신팀!$B$46</f>
        <v>1</v>
      </c>
      <c r="D40" s="85" t="s">
        <v>168</v>
      </c>
      <c r="E40" s="86">
        <f>소통혁신팀!$D46</f>
        <v>1</v>
      </c>
      <c r="F40" s="77"/>
      <c r="G40" s="77"/>
    </row>
    <row r="41" spans="1:7">
      <c r="A41" s="386"/>
      <c r="B41" s="382"/>
      <c r="C41" s="382"/>
      <c r="D41" s="85" t="s">
        <v>169</v>
      </c>
      <c r="E41" s="86">
        <f>소통혁신팀!$D47</f>
        <v>0</v>
      </c>
      <c r="F41" s="77"/>
      <c r="G41" s="77"/>
    </row>
    <row r="42" spans="1:7">
      <c r="A42" s="386"/>
      <c r="B42" s="382"/>
      <c r="C42" s="382"/>
      <c r="D42" s="85" t="s">
        <v>170</v>
      </c>
      <c r="E42" s="86">
        <f>소통혁신팀!$D48</f>
        <v>0</v>
      </c>
      <c r="F42" s="77"/>
      <c r="G42" s="77"/>
    </row>
    <row r="43" spans="1:7">
      <c r="A43" s="386"/>
      <c r="B43" s="382"/>
      <c r="C43" s="382"/>
      <c r="D43" s="85" t="s">
        <v>178</v>
      </c>
      <c r="E43" s="86">
        <f>소통혁신팀!$D49</f>
        <v>0</v>
      </c>
      <c r="F43" s="77"/>
      <c r="G43" s="77"/>
    </row>
    <row r="44" spans="1:7">
      <c r="A44" s="386"/>
      <c r="B44" s="382"/>
      <c r="C44" s="382"/>
      <c r="D44" s="85" t="s">
        <v>171</v>
      </c>
      <c r="E44" s="86">
        <f>소통혁신팀!$D50</f>
        <v>0</v>
      </c>
      <c r="F44" s="77"/>
      <c r="G44" s="77"/>
    </row>
    <row r="45" spans="1:7">
      <c r="A45" s="386"/>
      <c r="B45" s="382" t="s">
        <v>155</v>
      </c>
      <c r="C45" s="382">
        <f>소통혁신팀!$B$51</f>
        <v>1</v>
      </c>
      <c r="D45" s="85" t="s">
        <v>172</v>
      </c>
      <c r="E45" s="86">
        <f>소통혁신팀!$D51</f>
        <v>0</v>
      </c>
      <c r="F45" s="77"/>
      <c r="G45" s="77"/>
    </row>
    <row r="46" spans="1:7">
      <c r="A46" s="386"/>
      <c r="B46" s="382"/>
      <c r="C46" s="382"/>
      <c r="D46" s="85" t="s">
        <v>173</v>
      </c>
      <c r="E46" s="86">
        <f>소통혁신팀!$D52</f>
        <v>0</v>
      </c>
      <c r="F46" s="77"/>
      <c r="G46" s="77"/>
    </row>
    <row r="47" spans="1:7">
      <c r="A47" s="386"/>
      <c r="B47" s="382"/>
      <c r="C47" s="382"/>
      <c r="D47" s="85" t="s">
        <v>174</v>
      </c>
      <c r="E47" s="86">
        <f>소통혁신팀!$D53</f>
        <v>0</v>
      </c>
      <c r="F47" s="77"/>
      <c r="G47" s="77"/>
    </row>
    <row r="48" spans="1:7">
      <c r="A48" s="386"/>
      <c r="B48" s="382"/>
      <c r="C48" s="382"/>
      <c r="D48" s="85" t="s">
        <v>175</v>
      </c>
      <c r="E48" s="86">
        <f>소통혁신팀!$D54</f>
        <v>1</v>
      </c>
      <c r="F48" s="77"/>
      <c r="G48" s="77"/>
    </row>
    <row r="49" spans="1:7">
      <c r="A49" s="386"/>
      <c r="B49" s="382"/>
      <c r="C49" s="382"/>
      <c r="D49" s="85" t="s">
        <v>176</v>
      </c>
      <c r="E49" s="86">
        <f>소통혁신팀!$D55</f>
        <v>0</v>
      </c>
      <c r="F49" s="77"/>
      <c r="G49" s="77"/>
    </row>
    <row r="50" spans="1:7">
      <c r="A50" s="386"/>
      <c r="B50" s="382"/>
      <c r="C50" s="382"/>
      <c r="D50" s="85" t="s">
        <v>177</v>
      </c>
      <c r="E50" s="86">
        <f>소통혁신팀!$D56</f>
        <v>0</v>
      </c>
      <c r="F50" s="77"/>
      <c r="G50" s="77"/>
    </row>
    <row r="51" spans="1:7">
      <c r="A51" s="386"/>
      <c r="B51" s="93" t="s">
        <v>189</v>
      </c>
      <c r="C51" s="94">
        <f>SUM(C29:C50)</f>
        <v>14</v>
      </c>
      <c r="D51" s="93" t="s">
        <v>189</v>
      </c>
      <c r="E51" s="94">
        <f>SUM(E29:E50)</f>
        <v>14</v>
      </c>
      <c r="F51" s="77"/>
      <c r="G51" s="77"/>
    </row>
    <row r="52" spans="1:7">
      <c r="A52" s="387" t="s">
        <v>192</v>
      </c>
      <c r="B52" s="382" t="s">
        <v>153</v>
      </c>
      <c r="C52" s="382">
        <f>안전감사실!$B$36</f>
        <v>4</v>
      </c>
      <c r="D52" s="85" t="s">
        <v>157</v>
      </c>
      <c r="E52" s="86">
        <f>안전감사실!D36</f>
        <v>2</v>
      </c>
      <c r="F52" s="77"/>
      <c r="G52" s="77"/>
    </row>
    <row r="53" spans="1:7">
      <c r="A53" s="388"/>
      <c r="B53" s="382"/>
      <c r="C53" s="382"/>
      <c r="D53" s="85" t="s">
        <v>158</v>
      </c>
      <c r="E53" s="86">
        <f>안전감사실!D37</f>
        <v>1</v>
      </c>
      <c r="F53" s="77"/>
      <c r="G53" s="77"/>
    </row>
    <row r="54" spans="1:7">
      <c r="A54" s="388"/>
      <c r="B54" s="382"/>
      <c r="C54" s="382"/>
      <c r="D54" s="85" t="s">
        <v>159</v>
      </c>
      <c r="E54" s="86">
        <f>안전감사실!D38</f>
        <v>0</v>
      </c>
      <c r="F54" s="77"/>
      <c r="G54" s="77"/>
    </row>
    <row r="55" spans="1:7">
      <c r="A55" s="388"/>
      <c r="B55" s="382"/>
      <c r="C55" s="382"/>
      <c r="D55" s="85" t="s">
        <v>160</v>
      </c>
      <c r="E55" s="86">
        <f>안전감사실!D39</f>
        <v>1</v>
      </c>
      <c r="F55" s="77"/>
      <c r="G55" s="77"/>
    </row>
    <row r="56" spans="1:7">
      <c r="A56" s="388"/>
      <c r="B56" s="382"/>
      <c r="C56" s="382"/>
      <c r="D56" s="85" t="s">
        <v>161</v>
      </c>
      <c r="E56" s="86">
        <f>안전감사실!D40</f>
        <v>0</v>
      </c>
      <c r="F56" s="77"/>
      <c r="G56" s="77"/>
    </row>
    <row r="57" spans="1:7">
      <c r="A57" s="388"/>
      <c r="B57" s="382"/>
      <c r="C57" s="382"/>
      <c r="D57" s="85" t="s">
        <v>162</v>
      </c>
      <c r="E57" s="86">
        <f>안전감사실!D41</f>
        <v>0</v>
      </c>
      <c r="F57" s="77"/>
      <c r="G57" s="77"/>
    </row>
    <row r="58" spans="1:7">
      <c r="A58" s="388"/>
      <c r="B58" s="382" t="s">
        <v>154</v>
      </c>
      <c r="C58" s="382">
        <f>안전감사실!$B$42</f>
        <v>0</v>
      </c>
      <c r="D58" s="85" t="s">
        <v>163</v>
      </c>
      <c r="E58" s="86">
        <f>안전감사실!D42</f>
        <v>0</v>
      </c>
      <c r="F58" s="77"/>
      <c r="G58" s="77"/>
    </row>
    <row r="59" spans="1:7">
      <c r="A59" s="388"/>
      <c r="B59" s="382"/>
      <c r="C59" s="382"/>
      <c r="D59" s="85" t="s">
        <v>164</v>
      </c>
      <c r="E59" s="86">
        <f>안전감사실!D43</f>
        <v>0</v>
      </c>
      <c r="F59" s="77"/>
      <c r="G59" s="77"/>
    </row>
    <row r="60" spans="1:7">
      <c r="A60" s="388"/>
      <c r="B60" s="382"/>
      <c r="C60" s="382"/>
      <c r="D60" s="85" t="s">
        <v>165</v>
      </c>
      <c r="E60" s="86">
        <f>안전감사실!D44</f>
        <v>0</v>
      </c>
      <c r="F60" s="77"/>
      <c r="G60" s="77"/>
    </row>
    <row r="61" spans="1:7">
      <c r="A61" s="388"/>
      <c r="B61" s="382"/>
      <c r="C61" s="382"/>
      <c r="D61" s="85" t="s">
        <v>166</v>
      </c>
      <c r="E61" s="86">
        <f>안전감사실!D45</f>
        <v>0</v>
      </c>
      <c r="F61" s="77"/>
      <c r="G61" s="77"/>
    </row>
    <row r="62" spans="1:7">
      <c r="A62" s="388"/>
      <c r="B62" s="382"/>
      <c r="C62" s="382"/>
      <c r="D62" s="85" t="s">
        <v>167</v>
      </c>
      <c r="E62" s="86">
        <f>안전감사실!D46</f>
        <v>0</v>
      </c>
      <c r="F62" s="77"/>
      <c r="G62" s="77"/>
    </row>
    <row r="63" spans="1:7">
      <c r="A63" s="388"/>
      <c r="B63" s="382" t="s">
        <v>156</v>
      </c>
      <c r="C63" s="382">
        <f>안전감사실!$B$47</f>
        <v>3</v>
      </c>
      <c r="D63" s="85" t="s">
        <v>168</v>
      </c>
      <c r="E63" s="86">
        <f>안전감사실!D47</f>
        <v>0</v>
      </c>
      <c r="F63" s="77"/>
      <c r="G63" s="77"/>
    </row>
    <row r="64" spans="1:7">
      <c r="A64" s="388"/>
      <c r="B64" s="382"/>
      <c r="C64" s="382"/>
      <c r="D64" s="85" t="s">
        <v>169</v>
      </c>
      <c r="E64" s="86">
        <f>안전감사실!D48</f>
        <v>0</v>
      </c>
      <c r="F64" s="77"/>
      <c r="G64" s="77"/>
    </row>
    <row r="65" spans="1:7">
      <c r="A65" s="388"/>
      <c r="B65" s="382"/>
      <c r="C65" s="382"/>
      <c r="D65" s="85" t="s">
        <v>170</v>
      </c>
      <c r="E65" s="86">
        <f>안전감사실!D49</f>
        <v>0</v>
      </c>
      <c r="F65" s="77"/>
      <c r="G65" s="77"/>
    </row>
    <row r="66" spans="1:7">
      <c r="A66" s="388"/>
      <c r="B66" s="382"/>
      <c r="C66" s="382"/>
      <c r="D66" s="85" t="s">
        <v>178</v>
      </c>
      <c r="E66" s="86">
        <f>안전감사실!D50</f>
        <v>0</v>
      </c>
      <c r="F66" s="77"/>
      <c r="G66" s="77"/>
    </row>
    <row r="67" spans="1:7">
      <c r="A67" s="388"/>
      <c r="B67" s="382"/>
      <c r="C67" s="382"/>
      <c r="D67" s="85" t="s">
        <v>171</v>
      </c>
      <c r="E67" s="86">
        <f>안전감사실!D51</f>
        <v>3</v>
      </c>
      <c r="F67" s="77"/>
      <c r="G67" s="77"/>
    </row>
    <row r="68" spans="1:7">
      <c r="A68" s="388"/>
      <c r="B68" s="382" t="s">
        <v>155</v>
      </c>
      <c r="C68" s="382">
        <f>안전감사실!$B$52</f>
        <v>0</v>
      </c>
      <c r="D68" s="85" t="s">
        <v>172</v>
      </c>
      <c r="E68" s="86">
        <f>안전감사실!D52</f>
        <v>0</v>
      </c>
      <c r="F68" s="77"/>
      <c r="G68" s="77"/>
    </row>
    <row r="69" spans="1:7">
      <c r="A69" s="388"/>
      <c r="B69" s="382"/>
      <c r="C69" s="382"/>
      <c r="D69" s="85" t="s">
        <v>173</v>
      </c>
      <c r="E69" s="86">
        <f>안전감사실!D53</f>
        <v>0</v>
      </c>
      <c r="F69" s="77"/>
      <c r="G69" s="77"/>
    </row>
    <row r="70" spans="1:7">
      <c r="A70" s="388"/>
      <c r="B70" s="382"/>
      <c r="C70" s="382"/>
      <c r="D70" s="85" t="s">
        <v>174</v>
      </c>
      <c r="E70" s="86">
        <f>안전감사실!D54</f>
        <v>0</v>
      </c>
      <c r="F70" s="77"/>
      <c r="G70" s="77"/>
    </row>
    <row r="71" spans="1:7">
      <c r="A71" s="388"/>
      <c r="B71" s="382"/>
      <c r="C71" s="382"/>
      <c r="D71" s="85" t="s">
        <v>175</v>
      </c>
      <c r="E71" s="86">
        <f>안전감사실!D55</f>
        <v>0</v>
      </c>
      <c r="F71" s="77"/>
      <c r="G71" s="77"/>
    </row>
    <row r="72" spans="1:7">
      <c r="A72" s="388"/>
      <c r="B72" s="382"/>
      <c r="C72" s="382"/>
      <c r="D72" s="85" t="s">
        <v>176</v>
      </c>
      <c r="E72" s="86">
        <f>안전감사실!D56</f>
        <v>0</v>
      </c>
      <c r="F72" s="77"/>
      <c r="G72" s="77"/>
    </row>
    <row r="73" spans="1:7">
      <c r="A73" s="388"/>
      <c r="B73" s="382"/>
      <c r="C73" s="382"/>
      <c r="D73" s="85" t="s">
        <v>177</v>
      </c>
      <c r="E73" s="86">
        <f>안전감사실!D57</f>
        <v>0</v>
      </c>
      <c r="F73" s="77"/>
      <c r="G73" s="77"/>
    </row>
    <row r="74" spans="1:7">
      <c r="A74" s="388"/>
      <c r="B74" s="93" t="s">
        <v>189</v>
      </c>
      <c r="C74" s="94">
        <f>SUM(C52:C73)</f>
        <v>7</v>
      </c>
      <c r="D74" s="93" t="s">
        <v>189</v>
      </c>
      <c r="E74" s="94">
        <f>SUM(E52:E73)</f>
        <v>7</v>
      </c>
      <c r="F74" s="77"/>
      <c r="G74" s="77"/>
    </row>
    <row r="75" spans="1:7">
      <c r="A75" s="389" t="s">
        <v>193</v>
      </c>
      <c r="B75" s="382" t="s">
        <v>153</v>
      </c>
      <c r="C75" s="382">
        <f>문화체육팀!$B$38</f>
        <v>4</v>
      </c>
      <c r="D75" s="85" t="s">
        <v>157</v>
      </c>
      <c r="E75" s="86">
        <f>문화체육팀!D38</f>
        <v>0</v>
      </c>
      <c r="F75" s="77"/>
      <c r="G75" s="77"/>
    </row>
    <row r="76" spans="1:7">
      <c r="A76" s="390"/>
      <c r="B76" s="382"/>
      <c r="C76" s="382"/>
      <c r="D76" s="85" t="s">
        <v>158</v>
      </c>
      <c r="E76" s="86">
        <f>문화체육팀!D39</f>
        <v>1</v>
      </c>
      <c r="F76" s="77"/>
      <c r="G76" s="77"/>
    </row>
    <row r="77" spans="1:7">
      <c r="A77" s="390"/>
      <c r="B77" s="382"/>
      <c r="C77" s="382"/>
      <c r="D77" s="85" t="s">
        <v>159</v>
      </c>
      <c r="E77" s="86">
        <f>문화체육팀!D40</f>
        <v>0</v>
      </c>
      <c r="F77" s="77"/>
      <c r="G77" s="77"/>
    </row>
    <row r="78" spans="1:7">
      <c r="A78" s="390"/>
      <c r="B78" s="382"/>
      <c r="C78" s="382"/>
      <c r="D78" s="85" t="s">
        <v>160</v>
      </c>
      <c r="E78" s="86">
        <f>문화체육팀!D41</f>
        <v>0</v>
      </c>
      <c r="F78" s="77"/>
      <c r="G78" s="77"/>
    </row>
    <row r="79" spans="1:7">
      <c r="A79" s="390"/>
      <c r="B79" s="382"/>
      <c r="C79" s="382"/>
      <c r="D79" s="85" t="s">
        <v>161</v>
      </c>
      <c r="E79" s="86">
        <f>문화체육팀!D42</f>
        <v>0</v>
      </c>
      <c r="F79" s="77"/>
      <c r="G79" s="77"/>
    </row>
    <row r="80" spans="1:7">
      <c r="A80" s="390"/>
      <c r="B80" s="382"/>
      <c r="C80" s="382"/>
      <c r="D80" s="85" t="s">
        <v>162</v>
      </c>
      <c r="E80" s="86">
        <f>문화체육팀!D43</f>
        <v>3</v>
      </c>
      <c r="F80" s="77"/>
      <c r="G80" s="77"/>
    </row>
    <row r="81" spans="1:7">
      <c r="A81" s="390"/>
      <c r="B81" s="382" t="s">
        <v>154</v>
      </c>
      <c r="C81" s="382">
        <f>문화체육팀!$B$44</f>
        <v>0</v>
      </c>
      <c r="D81" s="85" t="s">
        <v>163</v>
      </c>
      <c r="E81" s="86">
        <f>문화체육팀!D44</f>
        <v>0</v>
      </c>
      <c r="F81" s="77"/>
      <c r="G81" s="77"/>
    </row>
    <row r="82" spans="1:7">
      <c r="A82" s="390"/>
      <c r="B82" s="382"/>
      <c r="C82" s="382"/>
      <c r="D82" s="85" t="s">
        <v>164</v>
      </c>
      <c r="E82" s="86">
        <f>문화체육팀!D45</f>
        <v>0</v>
      </c>
      <c r="F82" s="77"/>
      <c r="G82" s="77"/>
    </row>
    <row r="83" spans="1:7">
      <c r="A83" s="390"/>
      <c r="B83" s="382"/>
      <c r="C83" s="382"/>
      <c r="D83" s="85" t="s">
        <v>165</v>
      </c>
      <c r="E83" s="86">
        <f>문화체육팀!D46</f>
        <v>0</v>
      </c>
      <c r="F83" s="77"/>
      <c r="G83" s="77"/>
    </row>
    <row r="84" spans="1:7">
      <c r="A84" s="390"/>
      <c r="B84" s="382"/>
      <c r="C84" s="382"/>
      <c r="D84" s="85" t="s">
        <v>166</v>
      </c>
      <c r="E84" s="86">
        <f>문화체육팀!D47</f>
        <v>0</v>
      </c>
      <c r="F84" s="77"/>
      <c r="G84" s="77"/>
    </row>
    <row r="85" spans="1:7">
      <c r="A85" s="390"/>
      <c r="B85" s="382"/>
      <c r="C85" s="382"/>
      <c r="D85" s="85" t="s">
        <v>167</v>
      </c>
      <c r="E85" s="86">
        <f>문화체육팀!D48</f>
        <v>0</v>
      </c>
      <c r="F85" s="77"/>
      <c r="G85" s="77"/>
    </row>
    <row r="86" spans="1:7">
      <c r="A86" s="390"/>
      <c r="B86" s="382" t="s">
        <v>156</v>
      </c>
      <c r="C86" s="382">
        <f>문화체육팀!$B$49</f>
        <v>3</v>
      </c>
      <c r="D86" s="85" t="s">
        <v>168</v>
      </c>
      <c r="E86" s="86">
        <f>문화체육팀!D49</f>
        <v>0</v>
      </c>
      <c r="F86" s="77"/>
      <c r="G86" s="77"/>
    </row>
    <row r="87" spans="1:7">
      <c r="A87" s="390"/>
      <c r="B87" s="382"/>
      <c r="C87" s="382"/>
      <c r="D87" s="85" t="s">
        <v>169</v>
      </c>
      <c r="E87" s="86">
        <f>문화체육팀!D50</f>
        <v>0</v>
      </c>
      <c r="F87" s="77"/>
      <c r="G87" s="77"/>
    </row>
    <row r="88" spans="1:7">
      <c r="A88" s="390"/>
      <c r="B88" s="382"/>
      <c r="C88" s="382"/>
      <c r="D88" s="85" t="s">
        <v>170</v>
      </c>
      <c r="E88" s="86">
        <f>문화체육팀!D51</f>
        <v>0</v>
      </c>
      <c r="F88" s="77"/>
      <c r="G88" s="77"/>
    </row>
    <row r="89" spans="1:7">
      <c r="A89" s="390"/>
      <c r="B89" s="382"/>
      <c r="C89" s="382"/>
      <c r="D89" s="85" t="s">
        <v>178</v>
      </c>
      <c r="E89" s="86">
        <f>문화체육팀!D52</f>
        <v>0</v>
      </c>
      <c r="F89" s="77"/>
      <c r="G89" s="77"/>
    </row>
    <row r="90" spans="1:7">
      <c r="A90" s="390"/>
      <c r="B90" s="382"/>
      <c r="C90" s="382"/>
      <c r="D90" s="85" t="s">
        <v>171</v>
      </c>
      <c r="E90" s="86">
        <f>문화체육팀!D53</f>
        <v>3</v>
      </c>
      <c r="F90" s="77"/>
      <c r="G90" s="77"/>
    </row>
    <row r="91" spans="1:7">
      <c r="A91" s="390"/>
      <c r="B91" s="382" t="s">
        <v>155</v>
      </c>
      <c r="C91" s="382">
        <f>문화체육팀!$B$54</f>
        <v>15</v>
      </c>
      <c r="D91" s="85" t="s">
        <v>172</v>
      </c>
      <c r="E91" s="86">
        <f>문화체육팀!D54</f>
        <v>0</v>
      </c>
      <c r="F91" s="77"/>
      <c r="G91" s="77"/>
    </row>
    <row r="92" spans="1:7">
      <c r="A92" s="390"/>
      <c r="B92" s="382"/>
      <c r="C92" s="382"/>
      <c r="D92" s="85" t="s">
        <v>173</v>
      </c>
      <c r="E92" s="86">
        <f>문화체육팀!D55</f>
        <v>2</v>
      </c>
      <c r="F92" s="77"/>
      <c r="G92" s="77"/>
    </row>
    <row r="93" spans="1:7">
      <c r="A93" s="390"/>
      <c r="B93" s="382"/>
      <c r="C93" s="382"/>
      <c r="D93" s="85" t="s">
        <v>174</v>
      </c>
      <c r="E93" s="86">
        <f>문화체육팀!D56</f>
        <v>0</v>
      </c>
      <c r="F93" s="77"/>
      <c r="G93" s="77"/>
    </row>
    <row r="94" spans="1:7">
      <c r="A94" s="390"/>
      <c r="B94" s="382"/>
      <c r="C94" s="382"/>
      <c r="D94" s="85" t="s">
        <v>175</v>
      </c>
      <c r="E94" s="86">
        <f>문화체육팀!D57</f>
        <v>13</v>
      </c>
      <c r="F94" s="77"/>
      <c r="G94" s="77"/>
    </row>
    <row r="95" spans="1:7">
      <c r="A95" s="390"/>
      <c r="B95" s="382"/>
      <c r="C95" s="382"/>
      <c r="D95" s="85" t="s">
        <v>176</v>
      </c>
      <c r="E95" s="86">
        <f>문화체육팀!D58</f>
        <v>0</v>
      </c>
      <c r="F95" s="77"/>
      <c r="G95" s="77"/>
    </row>
    <row r="96" spans="1:7">
      <c r="A96" s="390"/>
      <c r="B96" s="382"/>
      <c r="C96" s="382"/>
      <c r="D96" s="85" t="s">
        <v>177</v>
      </c>
      <c r="E96" s="86">
        <f>문화체육팀!D59</f>
        <v>0</v>
      </c>
      <c r="F96" s="77"/>
      <c r="G96" s="77"/>
    </row>
    <row r="97" spans="1:7">
      <c r="A97" s="390"/>
      <c r="B97" s="93" t="s">
        <v>189</v>
      </c>
      <c r="C97" s="94">
        <f>SUM(C75:C96)</f>
        <v>22</v>
      </c>
      <c r="D97" s="93" t="s">
        <v>189</v>
      </c>
      <c r="E97" s="94">
        <f>SUM(E75:E96)</f>
        <v>22</v>
      </c>
      <c r="F97" s="77"/>
      <c r="G97" s="77"/>
    </row>
    <row r="98" spans="1:7">
      <c r="A98" s="391" t="s">
        <v>194</v>
      </c>
      <c r="B98" s="382" t="s">
        <v>153</v>
      </c>
      <c r="C98" s="382">
        <f>교통사업팀!$B$38</f>
        <v>1</v>
      </c>
      <c r="D98" s="85" t="s">
        <v>157</v>
      </c>
      <c r="E98" s="86">
        <f>교통사업팀!D38</f>
        <v>0</v>
      </c>
      <c r="F98" s="77"/>
      <c r="G98" s="77"/>
    </row>
    <row r="99" spans="1:7">
      <c r="A99" s="392"/>
      <c r="B99" s="382"/>
      <c r="C99" s="382"/>
      <c r="D99" s="85" t="s">
        <v>158</v>
      </c>
      <c r="E99" s="86">
        <f>교통사업팀!D39</f>
        <v>0</v>
      </c>
    </row>
    <row r="100" spans="1:7">
      <c r="A100" s="392"/>
      <c r="B100" s="382"/>
      <c r="C100" s="382"/>
      <c r="D100" s="85" t="s">
        <v>159</v>
      </c>
      <c r="E100" s="86">
        <f>교통사업팀!D40</f>
        <v>0</v>
      </c>
    </row>
    <row r="101" spans="1:7">
      <c r="A101" s="392"/>
      <c r="B101" s="382"/>
      <c r="C101" s="382"/>
      <c r="D101" s="85" t="s">
        <v>160</v>
      </c>
      <c r="E101" s="86">
        <f>교통사업팀!D41</f>
        <v>0</v>
      </c>
    </row>
    <row r="102" spans="1:7">
      <c r="A102" s="392"/>
      <c r="B102" s="382"/>
      <c r="C102" s="382"/>
      <c r="D102" s="85" t="s">
        <v>161</v>
      </c>
      <c r="E102" s="86">
        <f>교통사업팀!D42</f>
        <v>0</v>
      </c>
    </row>
    <row r="103" spans="1:7">
      <c r="A103" s="392"/>
      <c r="B103" s="382"/>
      <c r="C103" s="382"/>
      <c r="D103" s="85" t="s">
        <v>162</v>
      </c>
      <c r="E103" s="86">
        <f>교통사업팀!D43</f>
        <v>1</v>
      </c>
    </row>
    <row r="104" spans="1:7">
      <c r="A104" s="392"/>
      <c r="B104" s="382" t="s">
        <v>154</v>
      </c>
      <c r="C104" s="382">
        <f>교통사업팀!$B$44</f>
        <v>0</v>
      </c>
      <c r="D104" s="85" t="s">
        <v>163</v>
      </c>
      <c r="E104" s="86">
        <f>교통사업팀!D44</f>
        <v>0</v>
      </c>
    </row>
    <row r="105" spans="1:7">
      <c r="A105" s="392"/>
      <c r="B105" s="382"/>
      <c r="C105" s="382"/>
      <c r="D105" s="85" t="s">
        <v>164</v>
      </c>
      <c r="E105" s="86">
        <f>교통사업팀!D45</f>
        <v>0</v>
      </c>
    </row>
    <row r="106" spans="1:7">
      <c r="A106" s="392"/>
      <c r="B106" s="382"/>
      <c r="C106" s="382"/>
      <c r="D106" s="85" t="s">
        <v>165</v>
      </c>
      <c r="E106" s="86">
        <f>교통사업팀!D46</f>
        <v>0</v>
      </c>
    </row>
    <row r="107" spans="1:7">
      <c r="A107" s="392"/>
      <c r="B107" s="382"/>
      <c r="C107" s="382"/>
      <c r="D107" s="85" t="s">
        <v>166</v>
      </c>
      <c r="E107" s="86">
        <f>교통사업팀!D47</f>
        <v>0</v>
      </c>
    </row>
    <row r="108" spans="1:7">
      <c r="A108" s="392"/>
      <c r="B108" s="382"/>
      <c r="C108" s="382"/>
      <c r="D108" s="85" t="s">
        <v>167</v>
      </c>
      <c r="E108" s="86">
        <f>교통사업팀!D48</f>
        <v>0</v>
      </c>
    </row>
    <row r="109" spans="1:7">
      <c r="A109" s="392"/>
      <c r="B109" s="382" t="s">
        <v>156</v>
      </c>
      <c r="C109" s="382">
        <f>교통사업팀!$B$49</f>
        <v>5</v>
      </c>
      <c r="D109" s="85" t="s">
        <v>168</v>
      </c>
      <c r="E109" s="86">
        <f>교통사업팀!D49</f>
        <v>4</v>
      </c>
    </row>
    <row r="110" spans="1:7">
      <c r="A110" s="392"/>
      <c r="B110" s="382"/>
      <c r="C110" s="382"/>
      <c r="D110" s="85" t="s">
        <v>169</v>
      </c>
      <c r="E110" s="86">
        <f>교통사업팀!D50</f>
        <v>1</v>
      </c>
    </row>
    <row r="111" spans="1:7">
      <c r="A111" s="392"/>
      <c r="B111" s="382"/>
      <c r="C111" s="382"/>
      <c r="D111" s="85" t="s">
        <v>170</v>
      </c>
      <c r="E111" s="86">
        <f>교통사업팀!D51</f>
        <v>0</v>
      </c>
    </row>
    <row r="112" spans="1:7">
      <c r="A112" s="392"/>
      <c r="B112" s="382"/>
      <c r="C112" s="382"/>
      <c r="D112" s="85" t="s">
        <v>178</v>
      </c>
      <c r="E112" s="86">
        <f>교통사업팀!D52</f>
        <v>0</v>
      </c>
    </row>
    <row r="113" spans="1:5">
      <c r="A113" s="392"/>
      <c r="B113" s="382"/>
      <c r="C113" s="382"/>
      <c r="D113" s="85" t="s">
        <v>171</v>
      </c>
      <c r="E113" s="86">
        <f>교통사업팀!D53</f>
        <v>0</v>
      </c>
    </row>
    <row r="114" spans="1:5">
      <c r="A114" s="392"/>
      <c r="B114" s="382" t="s">
        <v>155</v>
      </c>
      <c r="C114" s="382">
        <f>교통사업팀!$B$54</f>
        <v>7</v>
      </c>
      <c r="D114" s="85" t="s">
        <v>172</v>
      </c>
      <c r="E114" s="86">
        <f>교통사업팀!D54</f>
        <v>0</v>
      </c>
    </row>
    <row r="115" spans="1:5">
      <c r="A115" s="392"/>
      <c r="B115" s="382"/>
      <c r="C115" s="382"/>
      <c r="D115" s="85" t="s">
        <v>173</v>
      </c>
      <c r="E115" s="86">
        <f>교통사업팀!D55</f>
        <v>0</v>
      </c>
    </row>
    <row r="116" spans="1:5">
      <c r="A116" s="392"/>
      <c r="B116" s="382"/>
      <c r="C116" s="382"/>
      <c r="D116" s="85" t="s">
        <v>174</v>
      </c>
      <c r="E116" s="86">
        <f>교통사업팀!D56</f>
        <v>4</v>
      </c>
    </row>
    <row r="117" spans="1:5">
      <c r="A117" s="392"/>
      <c r="B117" s="382"/>
      <c r="C117" s="382"/>
      <c r="D117" s="85" t="s">
        <v>175</v>
      </c>
      <c r="E117" s="86">
        <f>교통사업팀!D57</f>
        <v>1</v>
      </c>
    </row>
    <row r="118" spans="1:5">
      <c r="A118" s="392"/>
      <c r="B118" s="382"/>
      <c r="C118" s="382"/>
      <c r="D118" s="85" t="s">
        <v>176</v>
      </c>
      <c r="E118" s="86">
        <f>교통사업팀!D58</f>
        <v>1</v>
      </c>
    </row>
    <row r="119" spans="1:5">
      <c r="A119" s="392"/>
      <c r="B119" s="382"/>
      <c r="C119" s="382"/>
      <c r="D119" s="85" t="s">
        <v>177</v>
      </c>
      <c r="E119" s="86">
        <f>교통사업팀!D59</f>
        <v>1</v>
      </c>
    </row>
    <row r="120" spans="1:5">
      <c r="A120" s="392"/>
      <c r="B120" s="93" t="s">
        <v>189</v>
      </c>
      <c r="C120" s="94">
        <f>SUM(C98:C119)</f>
        <v>13</v>
      </c>
      <c r="D120" s="93" t="s">
        <v>189</v>
      </c>
      <c r="E120" s="94">
        <f>SUM(E98:E119)</f>
        <v>13</v>
      </c>
    </row>
    <row r="121" spans="1:5">
      <c r="A121" s="393" t="s">
        <v>195</v>
      </c>
      <c r="B121" s="382" t="s">
        <v>153</v>
      </c>
      <c r="C121" s="382">
        <f>환경지원팀!$B$38</f>
        <v>7</v>
      </c>
      <c r="D121" s="85" t="s">
        <v>157</v>
      </c>
      <c r="E121" s="86">
        <f>환경지원팀!D38</f>
        <v>0</v>
      </c>
    </row>
    <row r="122" spans="1:5">
      <c r="A122" s="393"/>
      <c r="B122" s="382"/>
      <c r="C122" s="382"/>
      <c r="D122" s="85" t="s">
        <v>158</v>
      </c>
      <c r="E122" s="86">
        <f>환경지원팀!D39</f>
        <v>4</v>
      </c>
    </row>
    <row r="123" spans="1:5">
      <c r="A123" s="393"/>
      <c r="B123" s="382"/>
      <c r="C123" s="382"/>
      <c r="D123" s="85" t="s">
        <v>159</v>
      </c>
      <c r="E123" s="86">
        <f>환경지원팀!D40</f>
        <v>0</v>
      </c>
    </row>
    <row r="124" spans="1:5">
      <c r="A124" s="393"/>
      <c r="B124" s="382"/>
      <c r="C124" s="382"/>
      <c r="D124" s="85" t="s">
        <v>160</v>
      </c>
      <c r="E124" s="86">
        <f>환경지원팀!D41</f>
        <v>1</v>
      </c>
    </row>
    <row r="125" spans="1:5">
      <c r="A125" s="393"/>
      <c r="B125" s="382"/>
      <c r="C125" s="382"/>
      <c r="D125" s="85" t="s">
        <v>161</v>
      </c>
      <c r="E125" s="86">
        <f>환경지원팀!D42</f>
        <v>2</v>
      </c>
    </row>
    <row r="126" spans="1:5">
      <c r="A126" s="393"/>
      <c r="B126" s="382"/>
      <c r="C126" s="382"/>
      <c r="D126" s="85" t="s">
        <v>162</v>
      </c>
      <c r="E126" s="86">
        <f>환경지원팀!D43</f>
        <v>0</v>
      </c>
    </row>
    <row r="127" spans="1:5">
      <c r="A127" s="393"/>
      <c r="B127" s="382" t="s">
        <v>154</v>
      </c>
      <c r="C127" s="382">
        <f>환경지원팀!$B$44</f>
        <v>0</v>
      </c>
      <c r="D127" s="85" t="s">
        <v>163</v>
      </c>
      <c r="E127" s="86">
        <f>환경지원팀!D44</f>
        <v>0</v>
      </c>
    </row>
    <row r="128" spans="1:5">
      <c r="A128" s="393"/>
      <c r="B128" s="382"/>
      <c r="C128" s="382"/>
      <c r="D128" s="85" t="s">
        <v>164</v>
      </c>
      <c r="E128" s="86">
        <f>환경지원팀!D45</f>
        <v>0</v>
      </c>
    </row>
    <row r="129" spans="1:5">
      <c r="A129" s="393"/>
      <c r="B129" s="382"/>
      <c r="C129" s="382"/>
      <c r="D129" s="85" t="s">
        <v>165</v>
      </c>
      <c r="E129" s="86">
        <f>환경지원팀!D46</f>
        <v>0</v>
      </c>
    </row>
    <row r="130" spans="1:5">
      <c r="A130" s="393"/>
      <c r="B130" s="382"/>
      <c r="C130" s="382"/>
      <c r="D130" s="85" t="s">
        <v>166</v>
      </c>
      <c r="E130" s="86">
        <f>환경지원팀!D47</f>
        <v>0</v>
      </c>
    </row>
    <row r="131" spans="1:5">
      <c r="A131" s="393"/>
      <c r="B131" s="382"/>
      <c r="C131" s="382"/>
      <c r="D131" s="85" t="s">
        <v>167</v>
      </c>
      <c r="E131" s="86">
        <f>환경지원팀!D48</f>
        <v>0</v>
      </c>
    </row>
    <row r="132" spans="1:5">
      <c r="A132" s="393"/>
      <c r="B132" s="382" t="s">
        <v>156</v>
      </c>
      <c r="C132" s="382">
        <f>환경지원팀!$B$49</f>
        <v>0</v>
      </c>
      <c r="D132" s="85" t="s">
        <v>168</v>
      </c>
      <c r="E132" s="86">
        <f>환경지원팀!D49</f>
        <v>0</v>
      </c>
    </row>
    <row r="133" spans="1:5">
      <c r="A133" s="393"/>
      <c r="B133" s="382"/>
      <c r="C133" s="382"/>
      <c r="D133" s="85" t="s">
        <v>169</v>
      </c>
      <c r="E133" s="86">
        <f>환경지원팀!D50</f>
        <v>0</v>
      </c>
    </row>
    <row r="134" spans="1:5">
      <c r="A134" s="393"/>
      <c r="B134" s="382"/>
      <c r="C134" s="382"/>
      <c r="D134" s="85" t="s">
        <v>170</v>
      </c>
      <c r="E134" s="86">
        <f>환경지원팀!D51</f>
        <v>0</v>
      </c>
    </row>
    <row r="135" spans="1:5">
      <c r="A135" s="393"/>
      <c r="B135" s="382"/>
      <c r="C135" s="382"/>
      <c r="D135" s="85" t="s">
        <v>178</v>
      </c>
      <c r="E135" s="86">
        <f>환경지원팀!D52</f>
        <v>0</v>
      </c>
    </row>
    <row r="136" spans="1:5">
      <c r="A136" s="393"/>
      <c r="B136" s="382"/>
      <c r="C136" s="382"/>
      <c r="D136" s="85" t="s">
        <v>171</v>
      </c>
      <c r="E136" s="86">
        <f>환경지원팀!D53</f>
        <v>0</v>
      </c>
    </row>
    <row r="137" spans="1:5">
      <c r="A137" s="393"/>
      <c r="B137" s="382" t="s">
        <v>155</v>
      </c>
      <c r="C137" s="382">
        <f>환경지원팀!$B$54</f>
        <v>0</v>
      </c>
      <c r="D137" s="85" t="s">
        <v>172</v>
      </c>
      <c r="E137" s="86">
        <f>환경지원팀!D54</f>
        <v>0</v>
      </c>
    </row>
    <row r="138" spans="1:5">
      <c r="A138" s="393"/>
      <c r="B138" s="382"/>
      <c r="C138" s="382"/>
      <c r="D138" s="85" t="s">
        <v>173</v>
      </c>
      <c r="E138" s="86">
        <f>환경지원팀!D55</f>
        <v>0</v>
      </c>
    </row>
    <row r="139" spans="1:5">
      <c r="A139" s="393"/>
      <c r="B139" s="382"/>
      <c r="C139" s="382"/>
      <c r="D139" s="85" t="s">
        <v>174</v>
      </c>
      <c r="E139" s="86">
        <f>환경지원팀!D56</f>
        <v>0</v>
      </c>
    </row>
    <row r="140" spans="1:5">
      <c r="A140" s="393"/>
      <c r="B140" s="382"/>
      <c r="C140" s="382"/>
      <c r="D140" s="85" t="s">
        <v>175</v>
      </c>
      <c r="E140" s="86">
        <f>환경지원팀!D57</f>
        <v>0</v>
      </c>
    </row>
    <row r="141" spans="1:5">
      <c r="A141" s="393"/>
      <c r="B141" s="382"/>
      <c r="C141" s="382"/>
      <c r="D141" s="85" t="s">
        <v>176</v>
      </c>
      <c r="E141" s="86">
        <f>환경지원팀!D58</f>
        <v>0</v>
      </c>
    </row>
    <row r="142" spans="1:5">
      <c r="A142" s="393"/>
      <c r="B142" s="382"/>
      <c r="C142" s="382"/>
      <c r="D142" s="85" t="s">
        <v>177</v>
      </c>
      <c r="E142" s="86">
        <f>환경지원팀!D59</f>
        <v>0</v>
      </c>
    </row>
    <row r="143" spans="1:5">
      <c r="A143" s="393"/>
      <c r="B143" s="93" t="s">
        <v>189</v>
      </c>
      <c r="C143" s="94">
        <f>SUM(C121:C142)</f>
        <v>7</v>
      </c>
      <c r="D143" s="93" t="s">
        <v>189</v>
      </c>
      <c r="E143" s="94">
        <f>SUM(E121:E142)</f>
        <v>7</v>
      </c>
    </row>
    <row r="144" spans="1:5">
      <c r="A144" s="399" t="s">
        <v>196</v>
      </c>
      <c r="B144" s="382" t="s">
        <v>153</v>
      </c>
      <c r="C144" s="382">
        <f>환경사업팀!$B$37</f>
        <v>3</v>
      </c>
      <c r="D144" s="85" t="s">
        <v>157</v>
      </c>
      <c r="E144" s="86">
        <f>환경사업팀!D37</f>
        <v>1</v>
      </c>
    </row>
    <row r="145" spans="1:5">
      <c r="A145" s="400"/>
      <c r="B145" s="382"/>
      <c r="C145" s="382"/>
      <c r="D145" s="85" t="s">
        <v>158</v>
      </c>
      <c r="E145" s="86">
        <f>환경사업팀!D38</f>
        <v>1</v>
      </c>
    </row>
    <row r="146" spans="1:5">
      <c r="A146" s="400"/>
      <c r="B146" s="382"/>
      <c r="C146" s="382"/>
      <c r="D146" s="85" t="s">
        <v>159</v>
      </c>
      <c r="E146" s="86">
        <f>환경사업팀!D39</f>
        <v>0</v>
      </c>
    </row>
    <row r="147" spans="1:5">
      <c r="A147" s="400"/>
      <c r="B147" s="382"/>
      <c r="C147" s="382"/>
      <c r="D147" s="85" t="s">
        <v>160</v>
      </c>
      <c r="E147" s="86">
        <f>환경사업팀!D40</f>
        <v>0</v>
      </c>
    </row>
    <row r="148" spans="1:5">
      <c r="A148" s="400"/>
      <c r="B148" s="382"/>
      <c r="C148" s="382"/>
      <c r="D148" s="85" t="s">
        <v>161</v>
      </c>
      <c r="E148" s="86">
        <f>환경사업팀!D41</f>
        <v>0</v>
      </c>
    </row>
    <row r="149" spans="1:5">
      <c r="A149" s="400"/>
      <c r="B149" s="382"/>
      <c r="C149" s="382"/>
      <c r="D149" s="85" t="s">
        <v>162</v>
      </c>
      <c r="E149" s="86">
        <f>환경사업팀!D42</f>
        <v>1</v>
      </c>
    </row>
    <row r="150" spans="1:5">
      <c r="A150" s="400"/>
      <c r="B150" s="382" t="s">
        <v>154</v>
      </c>
      <c r="C150" s="382">
        <f>환경사업팀!$B$43</f>
        <v>7</v>
      </c>
      <c r="D150" s="85" t="s">
        <v>163</v>
      </c>
      <c r="E150" s="86">
        <f>환경사업팀!D43</f>
        <v>1</v>
      </c>
    </row>
    <row r="151" spans="1:5">
      <c r="A151" s="400"/>
      <c r="B151" s="382"/>
      <c r="C151" s="382"/>
      <c r="D151" s="85" t="s">
        <v>164</v>
      </c>
      <c r="E151" s="86">
        <f>환경사업팀!D44</f>
        <v>0</v>
      </c>
    </row>
    <row r="152" spans="1:5">
      <c r="A152" s="400"/>
      <c r="B152" s="382"/>
      <c r="C152" s="382"/>
      <c r="D152" s="85" t="s">
        <v>165</v>
      </c>
      <c r="E152" s="86">
        <f>환경사업팀!D45</f>
        <v>4</v>
      </c>
    </row>
    <row r="153" spans="1:5">
      <c r="A153" s="400"/>
      <c r="B153" s="382"/>
      <c r="C153" s="382"/>
      <c r="D153" s="85" t="s">
        <v>166</v>
      </c>
      <c r="E153" s="86">
        <f>환경사업팀!D46</f>
        <v>2</v>
      </c>
    </row>
    <row r="154" spans="1:5">
      <c r="A154" s="400"/>
      <c r="B154" s="382"/>
      <c r="C154" s="382"/>
      <c r="D154" s="85" t="s">
        <v>167</v>
      </c>
      <c r="E154" s="86">
        <f>환경사업팀!D47</f>
        <v>0</v>
      </c>
    </row>
    <row r="155" spans="1:5">
      <c r="A155" s="400"/>
      <c r="B155" s="382" t="s">
        <v>156</v>
      </c>
      <c r="C155" s="382">
        <f>환경사업팀!$B$48</f>
        <v>3</v>
      </c>
      <c r="D155" s="85" t="s">
        <v>168</v>
      </c>
      <c r="E155" s="86">
        <f>환경사업팀!D48</f>
        <v>0</v>
      </c>
    </row>
    <row r="156" spans="1:5">
      <c r="A156" s="400"/>
      <c r="B156" s="382"/>
      <c r="C156" s="382"/>
      <c r="D156" s="85" t="s">
        <v>169</v>
      </c>
      <c r="E156" s="86">
        <f>환경사업팀!D49</f>
        <v>0</v>
      </c>
    </row>
    <row r="157" spans="1:5">
      <c r="A157" s="400"/>
      <c r="B157" s="382"/>
      <c r="C157" s="382"/>
      <c r="D157" s="85" t="s">
        <v>170</v>
      </c>
      <c r="E157" s="86">
        <f>환경사업팀!D50</f>
        <v>3</v>
      </c>
    </row>
    <row r="158" spans="1:5">
      <c r="A158" s="400"/>
      <c r="B158" s="382"/>
      <c r="C158" s="382"/>
      <c r="D158" s="85" t="s">
        <v>178</v>
      </c>
      <c r="E158" s="86">
        <f>환경사업팀!D51</f>
        <v>0</v>
      </c>
    </row>
    <row r="159" spans="1:5">
      <c r="A159" s="400"/>
      <c r="B159" s="382"/>
      <c r="C159" s="382"/>
      <c r="D159" s="85" t="s">
        <v>171</v>
      </c>
      <c r="E159" s="86">
        <f>환경사업팀!D52</f>
        <v>0</v>
      </c>
    </row>
    <row r="160" spans="1:5">
      <c r="A160" s="400"/>
      <c r="B160" s="382" t="s">
        <v>155</v>
      </c>
      <c r="C160" s="382">
        <f>환경사업팀!$B$53</f>
        <v>1</v>
      </c>
      <c r="D160" s="85" t="s">
        <v>172</v>
      </c>
      <c r="E160" s="86">
        <f>환경사업팀!D53</f>
        <v>0</v>
      </c>
    </row>
    <row r="161" spans="1:5">
      <c r="A161" s="400"/>
      <c r="B161" s="382"/>
      <c r="C161" s="382"/>
      <c r="D161" s="85" t="s">
        <v>173</v>
      </c>
      <c r="E161" s="86">
        <f>환경사업팀!D54</f>
        <v>0</v>
      </c>
    </row>
    <row r="162" spans="1:5">
      <c r="A162" s="400"/>
      <c r="B162" s="382"/>
      <c r="C162" s="382"/>
      <c r="D162" s="85" t="s">
        <v>174</v>
      </c>
      <c r="E162" s="86">
        <f>환경사업팀!D55</f>
        <v>0</v>
      </c>
    </row>
    <row r="163" spans="1:5">
      <c r="A163" s="400"/>
      <c r="B163" s="382"/>
      <c r="C163" s="382"/>
      <c r="D163" s="85" t="s">
        <v>175</v>
      </c>
      <c r="E163" s="86">
        <f>환경사업팀!D56</f>
        <v>1</v>
      </c>
    </row>
    <row r="164" spans="1:5">
      <c r="A164" s="400"/>
      <c r="B164" s="382"/>
      <c r="C164" s="382"/>
      <c r="D164" s="85" t="s">
        <v>176</v>
      </c>
      <c r="E164" s="86">
        <f>환경사업팀!D57</f>
        <v>0</v>
      </c>
    </row>
    <row r="165" spans="1:5">
      <c r="A165" s="400"/>
      <c r="B165" s="382"/>
      <c r="C165" s="382"/>
      <c r="D165" s="85" t="s">
        <v>177</v>
      </c>
      <c r="E165" s="86">
        <f>환경사업팀!D58</f>
        <v>0</v>
      </c>
    </row>
    <row r="166" spans="1:5">
      <c r="A166" s="400"/>
      <c r="B166" s="93" t="s">
        <v>189</v>
      </c>
      <c r="C166" s="94">
        <f>SUM(C144:C165)</f>
        <v>14</v>
      </c>
      <c r="D166" s="93" t="s">
        <v>189</v>
      </c>
      <c r="E166" s="94">
        <f>SUM(E144:E165)</f>
        <v>14</v>
      </c>
    </row>
    <row r="167" spans="1:5">
      <c r="A167" s="397" t="s">
        <v>197</v>
      </c>
      <c r="B167" s="382" t="s">
        <v>153</v>
      </c>
      <c r="C167" s="382">
        <f>행복나루!$B$35</f>
        <v>4</v>
      </c>
      <c r="D167" s="85" t="s">
        <v>157</v>
      </c>
      <c r="E167" s="86">
        <f>행복나루!D35</f>
        <v>0</v>
      </c>
    </row>
    <row r="168" spans="1:5">
      <c r="A168" s="398"/>
      <c r="B168" s="382"/>
      <c r="C168" s="382"/>
      <c r="D168" s="85" t="s">
        <v>158</v>
      </c>
      <c r="E168" s="86">
        <f>행복나루!D36</f>
        <v>0</v>
      </c>
    </row>
    <row r="169" spans="1:5">
      <c r="A169" s="398"/>
      <c r="B169" s="382"/>
      <c r="C169" s="382"/>
      <c r="D169" s="85" t="s">
        <v>159</v>
      </c>
      <c r="E169" s="86">
        <f>행복나루!D37</f>
        <v>0</v>
      </c>
    </row>
    <row r="170" spans="1:5">
      <c r="A170" s="398"/>
      <c r="B170" s="382"/>
      <c r="C170" s="382"/>
      <c r="D170" s="85" t="s">
        <v>160</v>
      </c>
      <c r="E170" s="86">
        <f>행복나루!D38</f>
        <v>0</v>
      </c>
    </row>
    <row r="171" spans="1:5">
      <c r="A171" s="398"/>
      <c r="B171" s="382"/>
      <c r="C171" s="382"/>
      <c r="D171" s="85" t="s">
        <v>161</v>
      </c>
      <c r="E171" s="86">
        <f>행복나루!D39</f>
        <v>0</v>
      </c>
    </row>
    <row r="172" spans="1:5">
      <c r="A172" s="398"/>
      <c r="B172" s="382"/>
      <c r="C172" s="382"/>
      <c r="D172" s="85" t="s">
        <v>162</v>
      </c>
      <c r="E172" s="86">
        <f>행복나루!D40</f>
        <v>4</v>
      </c>
    </row>
    <row r="173" spans="1:5">
      <c r="A173" s="398"/>
      <c r="B173" s="382" t="s">
        <v>154</v>
      </c>
      <c r="C173" s="382">
        <f>행복나루!$B$41</f>
        <v>3</v>
      </c>
      <c r="D173" s="85" t="s">
        <v>163</v>
      </c>
      <c r="E173" s="86">
        <f>행복나루!D41</f>
        <v>3</v>
      </c>
    </row>
    <row r="174" spans="1:5">
      <c r="A174" s="398"/>
      <c r="B174" s="382"/>
      <c r="C174" s="382"/>
      <c r="D174" s="85" t="s">
        <v>164</v>
      </c>
      <c r="E174" s="86">
        <f>행복나루!D42</f>
        <v>0</v>
      </c>
    </row>
    <row r="175" spans="1:5">
      <c r="A175" s="398"/>
      <c r="B175" s="382"/>
      <c r="C175" s="382"/>
      <c r="D175" s="85" t="s">
        <v>165</v>
      </c>
      <c r="E175" s="86">
        <f>행복나루!D43</f>
        <v>0</v>
      </c>
    </row>
    <row r="176" spans="1:5">
      <c r="A176" s="398"/>
      <c r="B176" s="382"/>
      <c r="C176" s="382"/>
      <c r="D176" s="85" t="s">
        <v>166</v>
      </c>
      <c r="E176" s="86">
        <f>행복나루!D44</f>
        <v>0</v>
      </c>
    </row>
    <row r="177" spans="1:5">
      <c r="A177" s="398"/>
      <c r="B177" s="382"/>
      <c r="C177" s="382"/>
      <c r="D177" s="85" t="s">
        <v>167</v>
      </c>
      <c r="E177" s="86">
        <f>행복나루!D45</f>
        <v>0</v>
      </c>
    </row>
    <row r="178" spans="1:5">
      <c r="A178" s="398"/>
      <c r="B178" s="382" t="s">
        <v>156</v>
      </c>
      <c r="C178" s="382">
        <f>행복나루!$B$46</f>
        <v>1</v>
      </c>
      <c r="D178" s="85" t="s">
        <v>168</v>
      </c>
      <c r="E178" s="86">
        <f>행복나루!D46</f>
        <v>1</v>
      </c>
    </row>
    <row r="179" spans="1:5">
      <c r="A179" s="398"/>
      <c r="B179" s="382"/>
      <c r="C179" s="382"/>
      <c r="D179" s="85" t="s">
        <v>169</v>
      </c>
      <c r="E179" s="86">
        <f>행복나루!D47</f>
        <v>0</v>
      </c>
    </row>
    <row r="180" spans="1:5">
      <c r="A180" s="398"/>
      <c r="B180" s="382"/>
      <c r="C180" s="382"/>
      <c r="D180" s="85" t="s">
        <v>170</v>
      </c>
      <c r="E180" s="86">
        <f>행복나루!D48</f>
        <v>0</v>
      </c>
    </row>
    <row r="181" spans="1:5">
      <c r="A181" s="398"/>
      <c r="B181" s="382"/>
      <c r="C181" s="382"/>
      <c r="D181" s="85" t="s">
        <v>178</v>
      </c>
      <c r="E181" s="86">
        <f>행복나루!D49</f>
        <v>0</v>
      </c>
    </row>
    <row r="182" spans="1:5">
      <c r="A182" s="398"/>
      <c r="B182" s="382"/>
      <c r="C182" s="382"/>
      <c r="D182" s="85" t="s">
        <v>171</v>
      </c>
      <c r="E182" s="86">
        <f>행복나루!D50</f>
        <v>0</v>
      </c>
    </row>
    <row r="183" spans="1:5">
      <c r="A183" s="398"/>
      <c r="B183" s="382" t="s">
        <v>155</v>
      </c>
      <c r="C183" s="382">
        <f>행복나루!$B$51</f>
        <v>12</v>
      </c>
      <c r="D183" s="85" t="s">
        <v>172</v>
      </c>
      <c r="E183" s="86">
        <f>행복나루!D51</f>
        <v>0</v>
      </c>
    </row>
    <row r="184" spans="1:5">
      <c r="A184" s="398"/>
      <c r="B184" s="382"/>
      <c r="C184" s="382"/>
      <c r="D184" s="85" t="s">
        <v>173</v>
      </c>
      <c r="E184" s="86">
        <f>행복나루!D52</f>
        <v>8</v>
      </c>
    </row>
    <row r="185" spans="1:5">
      <c r="A185" s="398"/>
      <c r="B185" s="382"/>
      <c r="C185" s="382"/>
      <c r="D185" s="85" t="s">
        <v>174</v>
      </c>
      <c r="E185" s="86">
        <f>행복나루!D53</f>
        <v>0</v>
      </c>
    </row>
    <row r="186" spans="1:5">
      <c r="A186" s="398"/>
      <c r="B186" s="382"/>
      <c r="C186" s="382"/>
      <c r="D186" s="85" t="s">
        <v>175</v>
      </c>
      <c r="E186" s="86">
        <f>행복나루!D54</f>
        <v>4</v>
      </c>
    </row>
    <row r="187" spans="1:5">
      <c r="A187" s="398"/>
      <c r="B187" s="382"/>
      <c r="C187" s="382"/>
      <c r="D187" s="85" t="s">
        <v>176</v>
      </c>
      <c r="E187" s="86">
        <f>행복나루!D55</f>
        <v>0</v>
      </c>
    </row>
    <row r="188" spans="1:5">
      <c r="A188" s="398"/>
      <c r="B188" s="382"/>
      <c r="C188" s="382"/>
      <c r="D188" s="85" t="s">
        <v>177</v>
      </c>
      <c r="E188" s="86">
        <f>행복나루!D56</f>
        <v>0</v>
      </c>
    </row>
    <row r="189" spans="1:5">
      <c r="A189" s="398"/>
      <c r="B189" s="93" t="s">
        <v>189</v>
      </c>
      <c r="C189" s="94">
        <f>SUM(C167:C188)</f>
        <v>20</v>
      </c>
      <c r="D189" s="93" t="s">
        <v>189</v>
      </c>
      <c r="E189" s="94">
        <f>SUM(E167:E188)</f>
        <v>20</v>
      </c>
    </row>
  </sheetData>
  <mergeCells count="77">
    <mergeCell ref="I10:K10"/>
    <mergeCell ref="H1:P2"/>
    <mergeCell ref="A167:A189"/>
    <mergeCell ref="B167:B172"/>
    <mergeCell ref="C167:C172"/>
    <mergeCell ref="B173:B177"/>
    <mergeCell ref="C173:C177"/>
    <mergeCell ref="B178:B182"/>
    <mergeCell ref="C178:C182"/>
    <mergeCell ref="B183:B188"/>
    <mergeCell ref="C183:C188"/>
    <mergeCell ref="A144:A166"/>
    <mergeCell ref="B144:B149"/>
    <mergeCell ref="C144:C149"/>
    <mergeCell ref="B150:B154"/>
    <mergeCell ref="C150:C154"/>
    <mergeCell ref="B155:B159"/>
    <mergeCell ref="C155:C159"/>
    <mergeCell ref="B160:B165"/>
    <mergeCell ref="C160:C165"/>
    <mergeCell ref="A121:A143"/>
    <mergeCell ref="B121:B126"/>
    <mergeCell ref="C121:C126"/>
    <mergeCell ref="B127:B131"/>
    <mergeCell ref="C127:C131"/>
    <mergeCell ref="B132:B136"/>
    <mergeCell ref="C132:C136"/>
    <mergeCell ref="B137:B142"/>
    <mergeCell ref="C137:C142"/>
    <mergeCell ref="A98:A120"/>
    <mergeCell ref="B98:B103"/>
    <mergeCell ref="C98:C103"/>
    <mergeCell ref="B104:B108"/>
    <mergeCell ref="C104:C108"/>
    <mergeCell ref="B109:B113"/>
    <mergeCell ref="C109:C113"/>
    <mergeCell ref="B114:B119"/>
    <mergeCell ref="C114:C119"/>
    <mergeCell ref="A75:A97"/>
    <mergeCell ref="B75:B80"/>
    <mergeCell ref="C75:C80"/>
    <mergeCell ref="B81:B85"/>
    <mergeCell ref="C81:C85"/>
    <mergeCell ref="B86:B90"/>
    <mergeCell ref="C86:C90"/>
    <mergeCell ref="B91:B96"/>
    <mergeCell ref="C91:C96"/>
    <mergeCell ref="A52:A74"/>
    <mergeCell ref="B52:B57"/>
    <mergeCell ref="C52:C57"/>
    <mergeCell ref="B58:B62"/>
    <mergeCell ref="C58:C62"/>
    <mergeCell ref="B63:B67"/>
    <mergeCell ref="C63:C67"/>
    <mergeCell ref="B68:B73"/>
    <mergeCell ref="C68:C73"/>
    <mergeCell ref="A29:A51"/>
    <mergeCell ref="B29:B34"/>
    <mergeCell ref="C29:C34"/>
    <mergeCell ref="B35:B39"/>
    <mergeCell ref="C35:C39"/>
    <mergeCell ref="B40:B44"/>
    <mergeCell ref="C40:C44"/>
    <mergeCell ref="B45:B50"/>
    <mergeCell ref="C45:C50"/>
    <mergeCell ref="A1:E3"/>
    <mergeCell ref="B4:C4"/>
    <mergeCell ref="D4:E4"/>
    <mergeCell ref="C17:C21"/>
    <mergeCell ref="B22:B27"/>
    <mergeCell ref="C22:C27"/>
    <mergeCell ref="A5:A28"/>
    <mergeCell ref="B5:B11"/>
    <mergeCell ref="C5:C11"/>
    <mergeCell ref="B12:B16"/>
    <mergeCell ref="C12:C16"/>
    <mergeCell ref="B17:B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B08E-92B3-4D7A-AA12-BDCCFE5A8D40}">
  <dimension ref="A1:H188"/>
  <sheetViews>
    <sheetView view="pageBreakPreview" topLeftCell="A46" zoomScaleNormal="100" zoomScaleSheetLayoutView="100" workbookViewId="0">
      <selection activeCell="L67" sqref="L67"/>
    </sheetView>
  </sheetViews>
  <sheetFormatPr defaultRowHeight="16.5"/>
  <cols>
    <col min="1" max="1" width="13" bestFit="1" customWidth="1"/>
    <col min="2" max="2" width="22" bestFit="1" customWidth="1"/>
    <col min="4" max="4" width="23.125" customWidth="1"/>
    <col min="6" max="6" width="11.875" style="104" bestFit="1" customWidth="1"/>
    <col min="7" max="7" width="7.5" bestFit="1" customWidth="1"/>
    <col min="8" max="8" width="0" hidden="1" customWidth="1"/>
    <col min="9" max="9" width="26.125" customWidth="1"/>
  </cols>
  <sheetData>
    <row r="1" spans="1:8" ht="16.5" customHeight="1">
      <c r="A1" s="379" t="s">
        <v>198</v>
      </c>
      <c r="B1" s="379"/>
      <c r="C1" s="379"/>
      <c r="D1" s="379"/>
      <c r="E1" s="379"/>
      <c r="F1" s="379"/>
      <c r="G1" s="379"/>
    </row>
    <row r="2" spans="1:8" ht="16.5" customHeight="1">
      <c r="A2" s="379"/>
      <c r="B2" s="379"/>
      <c r="C2" s="379"/>
      <c r="D2" s="379"/>
      <c r="E2" s="379"/>
      <c r="F2" s="379"/>
      <c r="G2" s="379"/>
    </row>
    <row r="3" spans="1:8" ht="16.5" customHeight="1">
      <c r="A3" s="401"/>
      <c r="B3" s="401"/>
      <c r="C3" s="401"/>
      <c r="D3" s="401"/>
      <c r="E3" s="401"/>
      <c r="F3" s="401"/>
      <c r="G3" s="401"/>
      <c r="H3" s="77"/>
    </row>
    <row r="4" spans="1:8">
      <c r="A4" s="87" t="s">
        <v>199</v>
      </c>
      <c r="B4" s="381" t="s">
        <v>63</v>
      </c>
      <c r="C4" s="381"/>
      <c r="D4" s="381" t="s">
        <v>186</v>
      </c>
      <c r="E4" s="381"/>
      <c r="F4" s="103" t="s">
        <v>212</v>
      </c>
      <c r="G4" s="381" t="s">
        <v>211</v>
      </c>
      <c r="H4" s="381"/>
    </row>
    <row r="5" spans="1:8" ht="25.5" customHeight="1">
      <c r="A5" s="383" t="s">
        <v>190</v>
      </c>
      <c r="B5" s="382" t="s">
        <v>153</v>
      </c>
      <c r="C5" s="382">
        <f>경영지원팀!$B$38</f>
        <v>10</v>
      </c>
      <c r="D5" s="85" t="s">
        <v>157</v>
      </c>
      <c r="E5" s="86">
        <f>경영지원팀!D38</f>
        <v>0</v>
      </c>
      <c r="F5" s="402">
        <f>추진성과!I9</f>
        <v>52.631578947368418</v>
      </c>
      <c r="G5" s="404">
        <f>추진성과!I6</f>
        <v>9.5238095238095233E-2</v>
      </c>
      <c r="H5" s="77"/>
    </row>
    <row r="6" spans="1:8" ht="25.5" customHeight="1">
      <c r="A6" s="384"/>
      <c r="B6" s="382"/>
      <c r="C6" s="382"/>
      <c r="D6" s="85" t="s">
        <v>158</v>
      </c>
      <c r="E6" s="86">
        <f>경영지원팀!D39</f>
        <v>3</v>
      </c>
      <c r="F6" s="403"/>
      <c r="G6" s="405"/>
      <c r="H6" s="77"/>
    </row>
    <row r="7" spans="1:8" ht="16.5" customHeight="1">
      <c r="A7" s="384"/>
      <c r="B7" s="382"/>
      <c r="C7" s="382"/>
      <c r="D7" s="85" t="s">
        <v>159</v>
      </c>
      <c r="E7" s="86">
        <f>경영지원팀!D40</f>
        <v>5</v>
      </c>
      <c r="F7" s="403"/>
      <c r="G7" s="405"/>
      <c r="H7" s="77"/>
    </row>
    <row r="8" spans="1:8">
      <c r="A8" s="384"/>
      <c r="B8" s="382"/>
      <c r="C8" s="382"/>
      <c r="D8" s="85" t="s">
        <v>160</v>
      </c>
      <c r="E8" s="86">
        <f>경영지원팀!D41</f>
        <v>0</v>
      </c>
      <c r="F8" s="403"/>
      <c r="G8" s="405"/>
      <c r="H8" s="77"/>
    </row>
    <row r="9" spans="1:8">
      <c r="A9" s="384"/>
      <c r="B9" s="382"/>
      <c r="C9" s="382"/>
      <c r="D9" s="85" t="s">
        <v>161</v>
      </c>
      <c r="E9" s="86">
        <f>경영지원팀!D42</f>
        <v>1</v>
      </c>
      <c r="F9" s="403"/>
      <c r="G9" s="405"/>
      <c r="H9" s="77"/>
    </row>
    <row r="10" spans="1:8">
      <c r="A10" s="384"/>
      <c r="B10" s="382"/>
      <c r="C10" s="382"/>
      <c r="D10" s="85" t="s">
        <v>162</v>
      </c>
      <c r="E10" s="86">
        <f>경영지원팀!D43</f>
        <v>1</v>
      </c>
      <c r="F10" s="403"/>
      <c r="G10" s="405"/>
      <c r="H10" s="77"/>
    </row>
    <row r="11" spans="1:8" ht="25.5" customHeight="1">
      <c r="A11" s="384"/>
      <c r="B11" s="382" t="s">
        <v>154</v>
      </c>
      <c r="C11" s="382">
        <f>경영지원팀!$B$44</f>
        <v>8</v>
      </c>
      <c r="D11" s="85" t="s">
        <v>163</v>
      </c>
      <c r="E11" s="86">
        <f>경영지원팀!D44</f>
        <v>7</v>
      </c>
      <c r="F11" s="403"/>
      <c r="G11" s="405"/>
      <c r="H11" s="77"/>
    </row>
    <row r="12" spans="1:8" ht="25.5" customHeight="1">
      <c r="A12" s="384"/>
      <c r="B12" s="382"/>
      <c r="C12" s="382"/>
      <c r="D12" s="85" t="s">
        <v>164</v>
      </c>
      <c r="E12" s="86">
        <f>경영지원팀!D45</f>
        <v>1</v>
      </c>
      <c r="F12" s="403"/>
      <c r="G12" s="405"/>
      <c r="H12" s="77"/>
    </row>
    <row r="13" spans="1:8">
      <c r="A13" s="384"/>
      <c r="B13" s="382"/>
      <c r="C13" s="382"/>
      <c r="D13" s="85" t="s">
        <v>165</v>
      </c>
      <c r="E13" s="86">
        <f>경영지원팀!D46</f>
        <v>0</v>
      </c>
      <c r="F13" s="403"/>
      <c r="G13" s="405"/>
      <c r="H13" s="77"/>
    </row>
    <row r="14" spans="1:8">
      <c r="A14" s="384"/>
      <c r="B14" s="382"/>
      <c r="C14" s="382"/>
      <c r="D14" s="85" t="s">
        <v>166</v>
      </c>
      <c r="E14" s="86">
        <f>경영지원팀!D47</f>
        <v>0</v>
      </c>
      <c r="F14" s="403"/>
      <c r="G14" s="405"/>
      <c r="H14" s="77"/>
    </row>
    <row r="15" spans="1:8">
      <c r="A15" s="384"/>
      <c r="B15" s="382"/>
      <c r="C15" s="382"/>
      <c r="D15" s="85" t="s">
        <v>167</v>
      </c>
      <c r="E15" s="86">
        <f>경영지원팀!D48</f>
        <v>0</v>
      </c>
      <c r="F15" s="403"/>
      <c r="G15" s="405"/>
      <c r="H15" s="77"/>
    </row>
    <row r="16" spans="1:8" ht="38.25" customHeight="1">
      <c r="A16" s="384"/>
      <c r="B16" s="382" t="s">
        <v>156</v>
      </c>
      <c r="C16" s="382">
        <f>경영지원팀!$B$49</f>
        <v>2</v>
      </c>
      <c r="D16" s="85" t="s">
        <v>168</v>
      </c>
      <c r="E16" s="86">
        <f>경영지원팀!D49</f>
        <v>0</v>
      </c>
      <c r="F16" s="403"/>
      <c r="G16" s="405"/>
      <c r="H16" s="77"/>
    </row>
    <row r="17" spans="1:8" ht="38.25" customHeight="1">
      <c r="A17" s="384"/>
      <c r="B17" s="382"/>
      <c r="C17" s="382"/>
      <c r="D17" s="85" t="s">
        <v>169</v>
      </c>
      <c r="E17" s="86">
        <f>경영지원팀!D50</f>
        <v>0</v>
      </c>
      <c r="F17" s="403"/>
      <c r="G17" s="405"/>
      <c r="H17" s="77"/>
    </row>
    <row r="18" spans="1:8">
      <c r="A18" s="384"/>
      <c r="B18" s="382"/>
      <c r="C18" s="382"/>
      <c r="D18" s="85" t="s">
        <v>170</v>
      </c>
      <c r="E18" s="86">
        <f>경영지원팀!D51</f>
        <v>0</v>
      </c>
      <c r="F18" s="403"/>
      <c r="G18" s="405"/>
      <c r="H18" s="77"/>
    </row>
    <row r="19" spans="1:8">
      <c r="A19" s="384"/>
      <c r="B19" s="382"/>
      <c r="C19" s="382"/>
      <c r="D19" s="85" t="s">
        <v>178</v>
      </c>
      <c r="E19" s="86">
        <f>경영지원팀!D52</f>
        <v>2</v>
      </c>
      <c r="F19" s="403"/>
      <c r="G19" s="405"/>
      <c r="H19" s="77"/>
    </row>
    <row r="20" spans="1:8">
      <c r="A20" s="384"/>
      <c r="B20" s="382"/>
      <c r="C20" s="382"/>
      <c r="D20" s="85" t="s">
        <v>171</v>
      </c>
      <c r="E20" s="86">
        <f>경영지원팀!D53</f>
        <v>0</v>
      </c>
      <c r="F20" s="403"/>
      <c r="G20" s="405"/>
      <c r="H20" s="77"/>
    </row>
    <row r="21" spans="1:8">
      <c r="A21" s="384"/>
      <c r="B21" s="382" t="s">
        <v>155</v>
      </c>
      <c r="C21" s="382">
        <f>경영지원팀!$B$54</f>
        <v>1</v>
      </c>
      <c r="D21" s="85" t="s">
        <v>172</v>
      </c>
      <c r="E21" s="86">
        <f>경영지원팀!D54</f>
        <v>0</v>
      </c>
      <c r="F21" s="403"/>
      <c r="G21" s="405"/>
      <c r="H21" s="77"/>
    </row>
    <row r="22" spans="1:8">
      <c r="A22" s="384"/>
      <c r="B22" s="382"/>
      <c r="C22" s="382"/>
      <c r="D22" s="85" t="s">
        <v>173</v>
      </c>
      <c r="E22" s="86">
        <f>경영지원팀!D55</f>
        <v>0</v>
      </c>
      <c r="F22" s="403"/>
      <c r="G22" s="405"/>
      <c r="H22" s="77"/>
    </row>
    <row r="23" spans="1:8">
      <c r="A23" s="384"/>
      <c r="B23" s="382"/>
      <c r="C23" s="382"/>
      <c r="D23" s="85" t="s">
        <v>174</v>
      </c>
      <c r="E23" s="86">
        <f>경영지원팀!D56</f>
        <v>0</v>
      </c>
      <c r="F23" s="403"/>
      <c r="G23" s="405"/>
      <c r="H23" s="77"/>
    </row>
    <row r="24" spans="1:8">
      <c r="A24" s="384"/>
      <c r="B24" s="382"/>
      <c r="C24" s="382"/>
      <c r="D24" s="85" t="s">
        <v>175</v>
      </c>
      <c r="E24" s="86">
        <f>경영지원팀!D57</f>
        <v>0</v>
      </c>
      <c r="F24" s="403"/>
      <c r="G24" s="405"/>
      <c r="H24" s="77"/>
    </row>
    <row r="25" spans="1:8">
      <c r="A25" s="384"/>
      <c r="B25" s="382"/>
      <c r="C25" s="382"/>
      <c r="D25" s="85" t="s">
        <v>176</v>
      </c>
      <c r="E25" s="86">
        <f>경영지원팀!D58</f>
        <v>0</v>
      </c>
      <c r="F25" s="403"/>
      <c r="G25" s="405"/>
      <c r="H25" s="77"/>
    </row>
    <row r="26" spans="1:8">
      <c r="A26" s="384"/>
      <c r="B26" s="382"/>
      <c r="C26" s="382"/>
      <c r="D26" s="85" t="s">
        <v>177</v>
      </c>
      <c r="E26" s="86">
        <f>경영지원팀!D59</f>
        <v>1</v>
      </c>
      <c r="F26" s="403"/>
      <c r="G26" s="405"/>
      <c r="H26" s="77"/>
    </row>
    <row r="27" spans="1:8">
      <c r="A27" s="384"/>
      <c r="B27" s="93" t="s">
        <v>189</v>
      </c>
      <c r="C27" s="94">
        <f>SUM(C5:C26)</f>
        <v>21</v>
      </c>
      <c r="D27" s="93" t="s">
        <v>189</v>
      </c>
      <c r="E27" s="94">
        <f>SUM(E5:E26)</f>
        <v>21</v>
      </c>
      <c r="F27" s="403"/>
      <c r="G27" s="405"/>
      <c r="H27" s="77"/>
    </row>
    <row r="28" spans="1:8">
      <c r="A28" s="385" t="s">
        <v>191</v>
      </c>
      <c r="B28" s="382" t="s">
        <v>153</v>
      </c>
      <c r="C28" s="382">
        <f>소통혁신팀!$B$35</f>
        <v>7</v>
      </c>
      <c r="D28" s="85" t="s">
        <v>157</v>
      </c>
      <c r="E28" s="86">
        <f>소통혁신팀!$D35</f>
        <v>1</v>
      </c>
      <c r="F28" s="402">
        <f>추진성과!J$9</f>
        <v>64.166666666666671</v>
      </c>
      <c r="G28" s="404">
        <f>추진성과!I$6</f>
        <v>9.5238095238095233E-2</v>
      </c>
      <c r="H28" s="77"/>
    </row>
    <row r="29" spans="1:8">
      <c r="A29" s="386"/>
      <c r="B29" s="382"/>
      <c r="C29" s="382"/>
      <c r="D29" s="85" t="s">
        <v>158</v>
      </c>
      <c r="E29" s="86">
        <f>소통혁신팀!$D36</f>
        <v>3</v>
      </c>
      <c r="F29" s="403"/>
      <c r="G29" s="405"/>
      <c r="H29" s="77"/>
    </row>
    <row r="30" spans="1:8">
      <c r="A30" s="386"/>
      <c r="B30" s="382"/>
      <c r="C30" s="382"/>
      <c r="D30" s="85" t="s">
        <v>159</v>
      </c>
      <c r="E30" s="86">
        <f>소통혁신팀!$D37</f>
        <v>2</v>
      </c>
      <c r="F30" s="403"/>
      <c r="G30" s="405"/>
      <c r="H30" s="77"/>
    </row>
    <row r="31" spans="1:8">
      <c r="A31" s="386"/>
      <c r="B31" s="382"/>
      <c r="C31" s="382"/>
      <c r="D31" s="85" t="s">
        <v>160</v>
      </c>
      <c r="E31" s="86">
        <f>소통혁신팀!$D38</f>
        <v>0</v>
      </c>
      <c r="F31" s="403"/>
      <c r="G31" s="405"/>
      <c r="H31" s="77"/>
    </row>
    <row r="32" spans="1:8">
      <c r="A32" s="386"/>
      <c r="B32" s="382"/>
      <c r="C32" s="382"/>
      <c r="D32" s="85" t="s">
        <v>161</v>
      </c>
      <c r="E32" s="86">
        <f>소통혁신팀!$D39</f>
        <v>0</v>
      </c>
      <c r="F32" s="403"/>
      <c r="G32" s="405"/>
      <c r="H32" s="77"/>
    </row>
    <row r="33" spans="1:8">
      <c r="A33" s="386"/>
      <c r="B33" s="382"/>
      <c r="C33" s="382"/>
      <c r="D33" s="85" t="s">
        <v>162</v>
      </c>
      <c r="E33" s="86">
        <f>소통혁신팀!$D40</f>
        <v>1</v>
      </c>
      <c r="F33" s="403"/>
      <c r="G33" s="405"/>
      <c r="H33" s="77"/>
    </row>
    <row r="34" spans="1:8">
      <c r="A34" s="386"/>
      <c r="B34" s="382" t="s">
        <v>154</v>
      </c>
      <c r="C34" s="382">
        <f>소통혁신팀!$B$41</f>
        <v>5</v>
      </c>
      <c r="D34" s="85" t="s">
        <v>163</v>
      </c>
      <c r="E34" s="86">
        <f>소통혁신팀!$D41</f>
        <v>2</v>
      </c>
      <c r="F34" s="403"/>
      <c r="G34" s="405"/>
      <c r="H34" s="77"/>
    </row>
    <row r="35" spans="1:8">
      <c r="A35" s="386"/>
      <c r="B35" s="382"/>
      <c r="C35" s="382"/>
      <c r="D35" s="85" t="s">
        <v>164</v>
      </c>
      <c r="E35" s="86">
        <f>소통혁신팀!$D42</f>
        <v>0</v>
      </c>
      <c r="F35" s="403"/>
      <c r="G35" s="405"/>
      <c r="H35" s="77"/>
    </row>
    <row r="36" spans="1:8">
      <c r="A36" s="386"/>
      <c r="B36" s="382"/>
      <c r="C36" s="382"/>
      <c r="D36" s="85" t="s">
        <v>165</v>
      </c>
      <c r="E36" s="86">
        <f>소통혁신팀!$D43</f>
        <v>3</v>
      </c>
      <c r="F36" s="403"/>
      <c r="G36" s="405"/>
      <c r="H36" s="77"/>
    </row>
    <row r="37" spans="1:8">
      <c r="A37" s="386"/>
      <c r="B37" s="382"/>
      <c r="C37" s="382"/>
      <c r="D37" s="85" t="s">
        <v>166</v>
      </c>
      <c r="E37" s="86">
        <f>소통혁신팀!$D44</f>
        <v>0</v>
      </c>
      <c r="F37" s="403"/>
      <c r="G37" s="405"/>
      <c r="H37" s="77"/>
    </row>
    <row r="38" spans="1:8">
      <c r="A38" s="386"/>
      <c r="B38" s="382"/>
      <c r="C38" s="382"/>
      <c r="D38" s="85" t="s">
        <v>167</v>
      </c>
      <c r="E38" s="86">
        <f>소통혁신팀!$D45</f>
        <v>0</v>
      </c>
      <c r="F38" s="403"/>
      <c r="G38" s="405"/>
      <c r="H38" s="77"/>
    </row>
    <row r="39" spans="1:8">
      <c r="A39" s="386"/>
      <c r="B39" s="382" t="s">
        <v>156</v>
      </c>
      <c r="C39" s="382">
        <f>소통혁신팀!$B$46</f>
        <v>1</v>
      </c>
      <c r="D39" s="85" t="s">
        <v>168</v>
      </c>
      <c r="E39" s="86">
        <f>소통혁신팀!$D46</f>
        <v>1</v>
      </c>
      <c r="F39" s="403"/>
      <c r="G39" s="405"/>
      <c r="H39" s="77"/>
    </row>
    <row r="40" spans="1:8">
      <c r="A40" s="386"/>
      <c r="B40" s="382"/>
      <c r="C40" s="382"/>
      <c r="D40" s="85" t="s">
        <v>169</v>
      </c>
      <c r="E40" s="86">
        <f>소통혁신팀!$D47</f>
        <v>0</v>
      </c>
      <c r="F40" s="403"/>
      <c r="G40" s="405"/>
      <c r="H40" s="77"/>
    </row>
    <row r="41" spans="1:8">
      <c r="A41" s="386"/>
      <c r="B41" s="382"/>
      <c r="C41" s="382"/>
      <c r="D41" s="85" t="s">
        <v>170</v>
      </c>
      <c r="E41" s="86">
        <f>소통혁신팀!$D48</f>
        <v>0</v>
      </c>
      <c r="F41" s="403"/>
      <c r="G41" s="405"/>
      <c r="H41" s="77"/>
    </row>
    <row r="42" spans="1:8">
      <c r="A42" s="386"/>
      <c r="B42" s="382"/>
      <c r="C42" s="382"/>
      <c r="D42" s="85" t="s">
        <v>178</v>
      </c>
      <c r="E42" s="86">
        <f>소통혁신팀!$D49</f>
        <v>0</v>
      </c>
      <c r="F42" s="403"/>
      <c r="G42" s="405"/>
      <c r="H42" s="77"/>
    </row>
    <row r="43" spans="1:8">
      <c r="A43" s="386"/>
      <c r="B43" s="382"/>
      <c r="C43" s="382"/>
      <c r="D43" s="85" t="s">
        <v>171</v>
      </c>
      <c r="E43" s="86">
        <f>소통혁신팀!$D50</f>
        <v>0</v>
      </c>
      <c r="F43" s="403"/>
      <c r="G43" s="405"/>
      <c r="H43" s="77"/>
    </row>
    <row r="44" spans="1:8">
      <c r="A44" s="386"/>
      <c r="B44" s="382" t="s">
        <v>155</v>
      </c>
      <c r="C44" s="382">
        <f>소통혁신팀!$B$51</f>
        <v>1</v>
      </c>
      <c r="D44" s="85" t="s">
        <v>172</v>
      </c>
      <c r="E44" s="86">
        <f>소통혁신팀!$D51</f>
        <v>0</v>
      </c>
      <c r="F44" s="403"/>
      <c r="G44" s="405"/>
      <c r="H44" s="77"/>
    </row>
    <row r="45" spans="1:8">
      <c r="A45" s="386"/>
      <c r="B45" s="382"/>
      <c r="C45" s="382"/>
      <c r="D45" s="85" t="s">
        <v>173</v>
      </c>
      <c r="E45" s="86">
        <f>소통혁신팀!$D52</f>
        <v>0</v>
      </c>
      <c r="F45" s="403"/>
      <c r="G45" s="405"/>
      <c r="H45" s="77"/>
    </row>
    <row r="46" spans="1:8">
      <c r="A46" s="386"/>
      <c r="B46" s="382"/>
      <c r="C46" s="382"/>
      <c r="D46" s="85" t="s">
        <v>174</v>
      </c>
      <c r="E46" s="86">
        <f>소통혁신팀!$D53</f>
        <v>0</v>
      </c>
      <c r="F46" s="403"/>
      <c r="G46" s="405"/>
      <c r="H46" s="77"/>
    </row>
    <row r="47" spans="1:8">
      <c r="A47" s="386"/>
      <c r="B47" s="382"/>
      <c r="C47" s="382"/>
      <c r="D47" s="85" t="s">
        <v>175</v>
      </c>
      <c r="E47" s="86">
        <f>소통혁신팀!$D54</f>
        <v>1</v>
      </c>
      <c r="F47" s="403"/>
      <c r="G47" s="405"/>
      <c r="H47" s="77"/>
    </row>
    <row r="48" spans="1:8">
      <c r="A48" s="386"/>
      <c r="B48" s="382"/>
      <c r="C48" s="382"/>
      <c r="D48" s="85" t="s">
        <v>176</v>
      </c>
      <c r="E48" s="86">
        <f>소통혁신팀!$D55</f>
        <v>0</v>
      </c>
      <c r="F48" s="403"/>
      <c r="G48" s="405"/>
      <c r="H48" s="77"/>
    </row>
    <row r="49" spans="1:8">
      <c r="A49" s="386"/>
      <c r="B49" s="382"/>
      <c r="C49" s="382"/>
      <c r="D49" s="85" t="s">
        <v>177</v>
      </c>
      <c r="E49" s="86">
        <f>소통혁신팀!$D56</f>
        <v>0</v>
      </c>
      <c r="F49" s="403"/>
      <c r="G49" s="405"/>
      <c r="H49" s="77"/>
    </row>
    <row r="50" spans="1:8">
      <c r="A50" s="386"/>
      <c r="B50" s="93" t="s">
        <v>189</v>
      </c>
      <c r="C50" s="94">
        <f>SUM(C28:C49)</f>
        <v>14</v>
      </c>
      <c r="D50" s="93" t="s">
        <v>189</v>
      </c>
      <c r="E50" s="94">
        <f>SUM(E28:E49)</f>
        <v>14</v>
      </c>
      <c r="F50" s="403"/>
      <c r="G50" s="405"/>
      <c r="H50" s="77"/>
    </row>
    <row r="51" spans="1:8">
      <c r="A51" s="387" t="s">
        <v>192</v>
      </c>
      <c r="B51" s="382" t="s">
        <v>153</v>
      </c>
      <c r="C51" s="382">
        <f>안전감사실!$B$36</f>
        <v>4</v>
      </c>
      <c r="D51" s="85" t="s">
        <v>157</v>
      </c>
      <c r="E51" s="86">
        <f>안전감사실!D36</f>
        <v>2</v>
      </c>
      <c r="F51" s="402">
        <f>추진성과!K$9</f>
        <v>19.499999999999996</v>
      </c>
      <c r="G51" s="404">
        <f>추진성과!K$6</f>
        <v>0</v>
      </c>
      <c r="H51" s="77"/>
    </row>
    <row r="52" spans="1:8">
      <c r="A52" s="388"/>
      <c r="B52" s="382"/>
      <c r="C52" s="382"/>
      <c r="D52" s="85" t="s">
        <v>158</v>
      </c>
      <c r="E52" s="86">
        <f>안전감사실!D37</f>
        <v>1</v>
      </c>
      <c r="F52" s="403"/>
      <c r="G52" s="405"/>
      <c r="H52" s="77"/>
    </row>
    <row r="53" spans="1:8">
      <c r="A53" s="388"/>
      <c r="B53" s="382"/>
      <c r="C53" s="382"/>
      <c r="D53" s="85" t="s">
        <v>159</v>
      </c>
      <c r="E53" s="86">
        <f>안전감사실!D38</f>
        <v>0</v>
      </c>
      <c r="F53" s="403"/>
      <c r="G53" s="405"/>
      <c r="H53" s="77"/>
    </row>
    <row r="54" spans="1:8">
      <c r="A54" s="388"/>
      <c r="B54" s="382"/>
      <c r="C54" s="382"/>
      <c r="D54" s="85" t="s">
        <v>160</v>
      </c>
      <c r="E54" s="86">
        <f>안전감사실!D39</f>
        <v>1</v>
      </c>
      <c r="F54" s="403"/>
      <c r="G54" s="405"/>
      <c r="H54" s="77"/>
    </row>
    <row r="55" spans="1:8">
      <c r="A55" s="388"/>
      <c r="B55" s="382"/>
      <c r="C55" s="382"/>
      <c r="D55" s="85" t="s">
        <v>161</v>
      </c>
      <c r="E55" s="86">
        <f>안전감사실!D40</f>
        <v>0</v>
      </c>
      <c r="F55" s="403"/>
      <c r="G55" s="405"/>
      <c r="H55" s="77"/>
    </row>
    <row r="56" spans="1:8">
      <c r="A56" s="388"/>
      <c r="B56" s="382"/>
      <c r="C56" s="382"/>
      <c r="D56" s="85" t="s">
        <v>162</v>
      </c>
      <c r="E56" s="86">
        <f>안전감사실!D41</f>
        <v>0</v>
      </c>
      <c r="F56" s="403"/>
      <c r="G56" s="405"/>
      <c r="H56" s="77"/>
    </row>
    <row r="57" spans="1:8">
      <c r="A57" s="388"/>
      <c r="B57" s="382" t="s">
        <v>154</v>
      </c>
      <c r="C57" s="382">
        <f>안전감사실!$B$42</f>
        <v>0</v>
      </c>
      <c r="D57" s="85" t="s">
        <v>163</v>
      </c>
      <c r="E57" s="86">
        <f>안전감사실!D42</f>
        <v>0</v>
      </c>
      <c r="F57" s="403"/>
      <c r="G57" s="405"/>
      <c r="H57" s="77"/>
    </row>
    <row r="58" spans="1:8">
      <c r="A58" s="388"/>
      <c r="B58" s="382"/>
      <c r="C58" s="382"/>
      <c r="D58" s="85" t="s">
        <v>164</v>
      </c>
      <c r="E58" s="86">
        <f>안전감사실!D43</f>
        <v>0</v>
      </c>
      <c r="F58" s="403"/>
      <c r="G58" s="405"/>
      <c r="H58" s="77"/>
    </row>
    <row r="59" spans="1:8">
      <c r="A59" s="388"/>
      <c r="B59" s="382"/>
      <c r="C59" s="382"/>
      <c r="D59" s="85" t="s">
        <v>165</v>
      </c>
      <c r="E59" s="86">
        <f>안전감사실!D44</f>
        <v>0</v>
      </c>
      <c r="F59" s="403"/>
      <c r="G59" s="405"/>
      <c r="H59" s="77"/>
    </row>
    <row r="60" spans="1:8">
      <c r="A60" s="388"/>
      <c r="B60" s="382"/>
      <c r="C60" s="382"/>
      <c r="D60" s="85" t="s">
        <v>166</v>
      </c>
      <c r="E60" s="86">
        <f>안전감사실!D45</f>
        <v>0</v>
      </c>
      <c r="F60" s="403"/>
      <c r="G60" s="405"/>
      <c r="H60" s="77"/>
    </row>
    <row r="61" spans="1:8">
      <c r="A61" s="388"/>
      <c r="B61" s="382"/>
      <c r="C61" s="382"/>
      <c r="D61" s="85" t="s">
        <v>167</v>
      </c>
      <c r="E61" s="86">
        <f>안전감사실!D46</f>
        <v>0</v>
      </c>
      <c r="F61" s="403"/>
      <c r="G61" s="405"/>
      <c r="H61" s="77"/>
    </row>
    <row r="62" spans="1:8">
      <c r="A62" s="388"/>
      <c r="B62" s="382" t="s">
        <v>156</v>
      </c>
      <c r="C62" s="382">
        <f>안전감사실!$B$47</f>
        <v>3</v>
      </c>
      <c r="D62" s="85" t="s">
        <v>168</v>
      </c>
      <c r="E62" s="86">
        <f>안전감사실!D47</f>
        <v>0</v>
      </c>
      <c r="F62" s="403"/>
      <c r="G62" s="405"/>
      <c r="H62" s="77"/>
    </row>
    <row r="63" spans="1:8">
      <c r="A63" s="388"/>
      <c r="B63" s="382"/>
      <c r="C63" s="382"/>
      <c r="D63" s="85" t="s">
        <v>169</v>
      </c>
      <c r="E63" s="86">
        <f>안전감사실!D48</f>
        <v>0</v>
      </c>
      <c r="F63" s="403"/>
      <c r="G63" s="405"/>
      <c r="H63" s="77"/>
    </row>
    <row r="64" spans="1:8">
      <c r="A64" s="388"/>
      <c r="B64" s="382"/>
      <c r="C64" s="382"/>
      <c r="D64" s="85" t="s">
        <v>170</v>
      </c>
      <c r="E64" s="86">
        <f>안전감사실!D49</f>
        <v>0</v>
      </c>
      <c r="F64" s="403"/>
      <c r="G64" s="405"/>
      <c r="H64" s="77"/>
    </row>
    <row r="65" spans="1:8">
      <c r="A65" s="388"/>
      <c r="B65" s="382"/>
      <c r="C65" s="382"/>
      <c r="D65" s="85" t="s">
        <v>178</v>
      </c>
      <c r="E65" s="86">
        <f>안전감사실!D50</f>
        <v>0</v>
      </c>
      <c r="F65" s="403"/>
      <c r="G65" s="405"/>
      <c r="H65" s="77"/>
    </row>
    <row r="66" spans="1:8">
      <c r="A66" s="388"/>
      <c r="B66" s="382"/>
      <c r="C66" s="382"/>
      <c r="D66" s="85" t="s">
        <v>171</v>
      </c>
      <c r="E66" s="86">
        <f>안전감사실!D51</f>
        <v>3</v>
      </c>
      <c r="F66" s="403"/>
      <c r="G66" s="405"/>
      <c r="H66" s="77"/>
    </row>
    <row r="67" spans="1:8">
      <c r="A67" s="388"/>
      <c r="B67" s="382" t="s">
        <v>155</v>
      </c>
      <c r="C67" s="382">
        <f>안전감사실!$B$52</f>
        <v>0</v>
      </c>
      <c r="D67" s="85" t="s">
        <v>172</v>
      </c>
      <c r="E67" s="86">
        <f>안전감사실!D52</f>
        <v>0</v>
      </c>
      <c r="F67" s="403"/>
      <c r="G67" s="405"/>
      <c r="H67" s="77"/>
    </row>
    <row r="68" spans="1:8">
      <c r="A68" s="388"/>
      <c r="B68" s="382"/>
      <c r="C68" s="382"/>
      <c r="D68" s="85" t="s">
        <v>173</v>
      </c>
      <c r="E68" s="86">
        <f>안전감사실!D53</f>
        <v>0</v>
      </c>
      <c r="F68" s="403"/>
      <c r="G68" s="405"/>
      <c r="H68" s="77"/>
    </row>
    <row r="69" spans="1:8">
      <c r="A69" s="388"/>
      <c r="B69" s="382"/>
      <c r="C69" s="382"/>
      <c r="D69" s="85" t="s">
        <v>174</v>
      </c>
      <c r="E69" s="86">
        <f>안전감사실!D54</f>
        <v>0</v>
      </c>
      <c r="F69" s="403"/>
      <c r="G69" s="405"/>
      <c r="H69" s="77"/>
    </row>
    <row r="70" spans="1:8">
      <c r="A70" s="388"/>
      <c r="B70" s="382"/>
      <c r="C70" s="382"/>
      <c r="D70" s="85" t="s">
        <v>175</v>
      </c>
      <c r="E70" s="86">
        <f>안전감사실!D55</f>
        <v>0</v>
      </c>
      <c r="F70" s="403"/>
      <c r="G70" s="405"/>
      <c r="H70" s="77"/>
    </row>
    <row r="71" spans="1:8">
      <c r="A71" s="388"/>
      <c r="B71" s="382"/>
      <c r="C71" s="382"/>
      <c r="D71" s="85" t="s">
        <v>176</v>
      </c>
      <c r="E71" s="86">
        <f>안전감사실!D56</f>
        <v>0</v>
      </c>
      <c r="F71" s="403"/>
      <c r="G71" s="405"/>
      <c r="H71" s="77"/>
    </row>
    <row r="72" spans="1:8">
      <c r="A72" s="388"/>
      <c r="B72" s="382"/>
      <c r="C72" s="382"/>
      <c r="D72" s="85" t="s">
        <v>177</v>
      </c>
      <c r="E72" s="86">
        <f>안전감사실!D57</f>
        <v>0</v>
      </c>
      <c r="F72" s="403"/>
      <c r="G72" s="405"/>
      <c r="H72" s="77"/>
    </row>
    <row r="73" spans="1:8">
      <c r="A73" s="388"/>
      <c r="B73" s="93" t="s">
        <v>189</v>
      </c>
      <c r="C73" s="94">
        <f>SUM(C51:C72)</f>
        <v>7</v>
      </c>
      <c r="D73" s="93" t="s">
        <v>189</v>
      </c>
      <c r="E73" s="94">
        <f>SUM(E51:E72)</f>
        <v>7</v>
      </c>
      <c r="F73" s="403"/>
      <c r="G73" s="405"/>
      <c r="H73" s="77"/>
    </row>
    <row r="74" spans="1:8">
      <c r="A74" s="389" t="s">
        <v>193</v>
      </c>
      <c r="B74" s="382" t="s">
        <v>153</v>
      </c>
      <c r="C74" s="382">
        <f>문화체육팀!$B$38</f>
        <v>4</v>
      </c>
      <c r="D74" s="85" t="s">
        <v>157</v>
      </c>
      <c r="E74" s="86">
        <f>문화체육팀!D38</f>
        <v>0</v>
      </c>
      <c r="F74" s="402">
        <f>추진성과!L$9</f>
        <v>55.666666666666664</v>
      </c>
      <c r="G74" s="404">
        <f>추진성과!L$6</f>
        <v>9.0909090909090912E-2</v>
      </c>
      <c r="H74" s="77"/>
    </row>
    <row r="75" spans="1:8">
      <c r="A75" s="390"/>
      <c r="B75" s="382"/>
      <c r="C75" s="382"/>
      <c r="D75" s="85" t="s">
        <v>158</v>
      </c>
      <c r="E75" s="86">
        <f>문화체육팀!D39</f>
        <v>1</v>
      </c>
      <c r="F75" s="403"/>
      <c r="G75" s="405"/>
      <c r="H75" s="77"/>
    </row>
    <row r="76" spans="1:8">
      <c r="A76" s="390"/>
      <c r="B76" s="382"/>
      <c r="C76" s="382"/>
      <c r="D76" s="85" t="s">
        <v>159</v>
      </c>
      <c r="E76" s="86">
        <f>문화체육팀!D40</f>
        <v>0</v>
      </c>
      <c r="F76" s="403"/>
      <c r="G76" s="405"/>
      <c r="H76" s="77"/>
    </row>
    <row r="77" spans="1:8">
      <c r="A77" s="390"/>
      <c r="B77" s="382"/>
      <c r="C77" s="382"/>
      <c r="D77" s="85" t="s">
        <v>160</v>
      </c>
      <c r="E77" s="86">
        <f>문화체육팀!D41</f>
        <v>0</v>
      </c>
      <c r="F77" s="403"/>
      <c r="G77" s="405"/>
      <c r="H77" s="77"/>
    </row>
    <row r="78" spans="1:8">
      <c r="A78" s="390"/>
      <c r="B78" s="382"/>
      <c r="C78" s="382"/>
      <c r="D78" s="85" t="s">
        <v>161</v>
      </c>
      <c r="E78" s="86">
        <f>문화체육팀!D42</f>
        <v>0</v>
      </c>
      <c r="F78" s="403"/>
      <c r="G78" s="405"/>
      <c r="H78" s="77"/>
    </row>
    <row r="79" spans="1:8">
      <c r="A79" s="390"/>
      <c r="B79" s="382"/>
      <c r="C79" s="382"/>
      <c r="D79" s="85" t="s">
        <v>162</v>
      </c>
      <c r="E79" s="86">
        <f>문화체육팀!D43</f>
        <v>3</v>
      </c>
      <c r="F79" s="403"/>
      <c r="G79" s="405"/>
      <c r="H79" s="77"/>
    </row>
    <row r="80" spans="1:8">
      <c r="A80" s="390"/>
      <c r="B80" s="382" t="s">
        <v>154</v>
      </c>
      <c r="C80" s="382">
        <f>문화체육팀!$B$44</f>
        <v>0</v>
      </c>
      <c r="D80" s="85" t="s">
        <v>163</v>
      </c>
      <c r="E80" s="86">
        <f>문화체육팀!D44</f>
        <v>0</v>
      </c>
      <c r="F80" s="403"/>
      <c r="G80" s="405"/>
      <c r="H80" s="77"/>
    </row>
    <row r="81" spans="1:8">
      <c r="A81" s="390"/>
      <c r="B81" s="382"/>
      <c r="C81" s="382"/>
      <c r="D81" s="85" t="s">
        <v>164</v>
      </c>
      <c r="E81" s="86">
        <f>문화체육팀!D45</f>
        <v>0</v>
      </c>
      <c r="F81" s="403"/>
      <c r="G81" s="405"/>
      <c r="H81" s="77"/>
    </row>
    <row r="82" spans="1:8">
      <c r="A82" s="390"/>
      <c r="B82" s="382"/>
      <c r="C82" s="382"/>
      <c r="D82" s="85" t="s">
        <v>165</v>
      </c>
      <c r="E82" s="86">
        <f>문화체육팀!D46</f>
        <v>0</v>
      </c>
      <c r="F82" s="403"/>
      <c r="G82" s="405"/>
      <c r="H82" s="77"/>
    </row>
    <row r="83" spans="1:8">
      <c r="A83" s="390"/>
      <c r="B83" s="382"/>
      <c r="C83" s="382"/>
      <c r="D83" s="85" t="s">
        <v>166</v>
      </c>
      <c r="E83" s="86">
        <f>문화체육팀!D47</f>
        <v>0</v>
      </c>
      <c r="F83" s="403"/>
      <c r="G83" s="405"/>
      <c r="H83" s="77"/>
    </row>
    <row r="84" spans="1:8">
      <c r="A84" s="390"/>
      <c r="B84" s="382"/>
      <c r="C84" s="382"/>
      <c r="D84" s="85" t="s">
        <v>167</v>
      </c>
      <c r="E84" s="86">
        <f>문화체육팀!D48</f>
        <v>0</v>
      </c>
      <c r="F84" s="403"/>
      <c r="G84" s="405"/>
      <c r="H84" s="77"/>
    </row>
    <row r="85" spans="1:8">
      <c r="A85" s="390"/>
      <c r="B85" s="382" t="s">
        <v>156</v>
      </c>
      <c r="C85" s="382">
        <f>문화체육팀!$B$49</f>
        <v>3</v>
      </c>
      <c r="D85" s="85" t="s">
        <v>168</v>
      </c>
      <c r="E85" s="86">
        <f>문화체육팀!D49</f>
        <v>0</v>
      </c>
      <c r="F85" s="403"/>
      <c r="G85" s="405"/>
      <c r="H85" s="77"/>
    </row>
    <row r="86" spans="1:8">
      <c r="A86" s="390"/>
      <c r="B86" s="382"/>
      <c r="C86" s="382"/>
      <c r="D86" s="85" t="s">
        <v>169</v>
      </c>
      <c r="E86" s="86">
        <f>문화체육팀!D50</f>
        <v>0</v>
      </c>
      <c r="F86" s="403"/>
      <c r="G86" s="405"/>
      <c r="H86" s="77"/>
    </row>
    <row r="87" spans="1:8">
      <c r="A87" s="390"/>
      <c r="B87" s="382"/>
      <c r="C87" s="382"/>
      <c r="D87" s="85" t="s">
        <v>170</v>
      </c>
      <c r="E87" s="86">
        <f>문화체육팀!D51</f>
        <v>0</v>
      </c>
      <c r="F87" s="403"/>
      <c r="G87" s="405"/>
      <c r="H87" s="77"/>
    </row>
    <row r="88" spans="1:8">
      <c r="A88" s="390"/>
      <c r="B88" s="382"/>
      <c r="C88" s="382"/>
      <c r="D88" s="85" t="s">
        <v>178</v>
      </c>
      <c r="E88" s="86">
        <f>문화체육팀!D52</f>
        <v>0</v>
      </c>
      <c r="F88" s="403"/>
      <c r="G88" s="405"/>
      <c r="H88" s="77"/>
    </row>
    <row r="89" spans="1:8">
      <c r="A89" s="390"/>
      <c r="B89" s="382"/>
      <c r="C89" s="382"/>
      <c r="D89" s="85" t="s">
        <v>171</v>
      </c>
      <c r="E89" s="86">
        <f>문화체육팀!D53</f>
        <v>3</v>
      </c>
      <c r="F89" s="403"/>
      <c r="G89" s="405"/>
      <c r="H89" s="77"/>
    </row>
    <row r="90" spans="1:8">
      <c r="A90" s="390"/>
      <c r="B90" s="382" t="s">
        <v>155</v>
      </c>
      <c r="C90" s="382">
        <f>문화체육팀!$B$54</f>
        <v>15</v>
      </c>
      <c r="D90" s="85" t="s">
        <v>172</v>
      </c>
      <c r="E90" s="86">
        <f>문화체육팀!D54</f>
        <v>0</v>
      </c>
      <c r="F90" s="403"/>
      <c r="G90" s="405"/>
      <c r="H90" s="77"/>
    </row>
    <row r="91" spans="1:8">
      <c r="A91" s="390"/>
      <c r="B91" s="382"/>
      <c r="C91" s="382"/>
      <c r="D91" s="85" t="s">
        <v>173</v>
      </c>
      <c r="E91" s="86">
        <f>문화체육팀!D55</f>
        <v>2</v>
      </c>
      <c r="F91" s="403"/>
      <c r="G91" s="405"/>
      <c r="H91" s="77"/>
    </row>
    <row r="92" spans="1:8">
      <c r="A92" s="390"/>
      <c r="B92" s="382"/>
      <c r="C92" s="382"/>
      <c r="D92" s="85" t="s">
        <v>174</v>
      </c>
      <c r="E92" s="86">
        <f>문화체육팀!D56</f>
        <v>0</v>
      </c>
      <c r="F92" s="403"/>
      <c r="G92" s="405"/>
      <c r="H92" s="77"/>
    </row>
    <row r="93" spans="1:8">
      <c r="A93" s="390"/>
      <c r="B93" s="382"/>
      <c r="C93" s="382"/>
      <c r="D93" s="85" t="s">
        <v>175</v>
      </c>
      <c r="E93" s="86">
        <f>문화체육팀!D57</f>
        <v>13</v>
      </c>
      <c r="F93" s="403"/>
      <c r="G93" s="405"/>
      <c r="H93" s="77"/>
    </row>
    <row r="94" spans="1:8">
      <c r="A94" s="390"/>
      <c r="B94" s="382"/>
      <c r="C94" s="382"/>
      <c r="D94" s="85" t="s">
        <v>176</v>
      </c>
      <c r="E94" s="86">
        <f>문화체육팀!D58</f>
        <v>0</v>
      </c>
      <c r="F94" s="403"/>
      <c r="G94" s="405"/>
      <c r="H94" s="77"/>
    </row>
    <row r="95" spans="1:8">
      <c r="A95" s="390"/>
      <c r="B95" s="382"/>
      <c r="C95" s="382"/>
      <c r="D95" s="85" t="s">
        <v>177</v>
      </c>
      <c r="E95" s="86">
        <f>문화체육팀!D59</f>
        <v>0</v>
      </c>
      <c r="F95" s="403"/>
      <c r="G95" s="405"/>
      <c r="H95" s="77"/>
    </row>
    <row r="96" spans="1:8">
      <c r="A96" s="390"/>
      <c r="B96" s="93" t="s">
        <v>189</v>
      </c>
      <c r="C96" s="94">
        <f>SUM(C74:C95)</f>
        <v>22</v>
      </c>
      <c r="D96" s="93" t="s">
        <v>189</v>
      </c>
      <c r="E96" s="94">
        <f>SUM(E74:E95)</f>
        <v>22</v>
      </c>
      <c r="F96" s="403"/>
      <c r="G96" s="405"/>
      <c r="H96" s="77"/>
    </row>
    <row r="97" spans="1:8">
      <c r="A97" s="391" t="s">
        <v>194</v>
      </c>
      <c r="B97" s="382" t="s">
        <v>153</v>
      </c>
      <c r="C97" s="382">
        <f>교통사업팀!$B$38</f>
        <v>1</v>
      </c>
      <c r="D97" s="85" t="s">
        <v>157</v>
      </c>
      <c r="E97" s="86">
        <f>교통사업팀!D38</f>
        <v>0</v>
      </c>
      <c r="F97" s="402">
        <f>추진성과!M$9</f>
        <v>41.666666666666671</v>
      </c>
      <c r="G97" s="404">
        <f>추진성과!M$6</f>
        <v>0.38461538461538464</v>
      </c>
      <c r="H97" s="77"/>
    </row>
    <row r="98" spans="1:8">
      <c r="A98" s="392"/>
      <c r="B98" s="382"/>
      <c r="C98" s="382"/>
      <c r="D98" s="85" t="s">
        <v>158</v>
      </c>
      <c r="E98" s="86">
        <f>교통사업팀!D39</f>
        <v>0</v>
      </c>
      <c r="F98" s="403"/>
      <c r="G98" s="405"/>
    </row>
    <row r="99" spans="1:8">
      <c r="A99" s="392"/>
      <c r="B99" s="382"/>
      <c r="C99" s="382"/>
      <c r="D99" s="85" t="s">
        <v>159</v>
      </c>
      <c r="E99" s="86">
        <f>교통사업팀!D40</f>
        <v>0</v>
      </c>
      <c r="F99" s="403"/>
      <c r="G99" s="405"/>
    </row>
    <row r="100" spans="1:8">
      <c r="A100" s="392"/>
      <c r="B100" s="382"/>
      <c r="C100" s="382"/>
      <c r="D100" s="85" t="s">
        <v>160</v>
      </c>
      <c r="E100" s="86">
        <f>교통사업팀!D41</f>
        <v>0</v>
      </c>
      <c r="F100" s="403"/>
      <c r="G100" s="405"/>
    </row>
    <row r="101" spans="1:8">
      <c r="A101" s="392"/>
      <c r="B101" s="382"/>
      <c r="C101" s="382"/>
      <c r="D101" s="85" t="s">
        <v>161</v>
      </c>
      <c r="E101" s="86">
        <f>교통사업팀!D42</f>
        <v>0</v>
      </c>
      <c r="F101" s="403"/>
      <c r="G101" s="405"/>
    </row>
    <row r="102" spans="1:8">
      <c r="A102" s="392"/>
      <c r="B102" s="382"/>
      <c r="C102" s="382"/>
      <c r="D102" s="85" t="s">
        <v>162</v>
      </c>
      <c r="E102" s="86">
        <f>교통사업팀!D43</f>
        <v>1</v>
      </c>
      <c r="F102" s="403"/>
      <c r="G102" s="405"/>
    </row>
    <row r="103" spans="1:8">
      <c r="A103" s="392"/>
      <c r="B103" s="382" t="s">
        <v>154</v>
      </c>
      <c r="C103" s="382">
        <f>교통사업팀!$B$44</f>
        <v>0</v>
      </c>
      <c r="D103" s="85" t="s">
        <v>163</v>
      </c>
      <c r="E103" s="86">
        <f>교통사업팀!D44</f>
        <v>0</v>
      </c>
      <c r="F103" s="403"/>
      <c r="G103" s="405"/>
    </row>
    <row r="104" spans="1:8">
      <c r="A104" s="392"/>
      <c r="B104" s="382"/>
      <c r="C104" s="382"/>
      <c r="D104" s="85" t="s">
        <v>164</v>
      </c>
      <c r="E104" s="86">
        <f>교통사업팀!D45</f>
        <v>0</v>
      </c>
      <c r="F104" s="403"/>
      <c r="G104" s="405"/>
    </row>
    <row r="105" spans="1:8">
      <c r="A105" s="392"/>
      <c r="B105" s="382"/>
      <c r="C105" s="382"/>
      <c r="D105" s="85" t="s">
        <v>165</v>
      </c>
      <c r="E105" s="86">
        <f>교통사업팀!D46</f>
        <v>0</v>
      </c>
      <c r="F105" s="403"/>
      <c r="G105" s="405"/>
    </row>
    <row r="106" spans="1:8">
      <c r="A106" s="392"/>
      <c r="B106" s="382"/>
      <c r="C106" s="382"/>
      <c r="D106" s="85" t="s">
        <v>166</v>
      </c>
      <c r="E106" s="86">
        <f>교통사업팀!D47</f>
        <v>0</v>
      </c>
      <c r="F106" s="403"/>
      <c r="G106" s="405"/>
    </row>
    <row r="107" spans="1:8">
      <c r="A107" s="392"/>
      <c r="B107" s="382"/>
      <c r="C107" s="382"/>
      <c r="D107" s="85" t="s">
        <v>167</v>
      </c>
      <c r="E107" s="86">
        <f>교통사업팀!D48</f>
        <v>0</v>
      </c>
      <c r="F107" s="403"/>
      <c r="G107" s="405"/>
    </row>
    <row r="108" spans="1:8">
      <c r="A108" s="392"/>
      <c r="B108" s="382" t="s">
        <v>156</v>
      </c>
      <c r="C108" s="382">
        <f>교통사업팀!$B$49</f>
        <v>5</v>
      </c>
      <c r="D108" s="85" t="s">
        <v>168</v>
      </c>
      <c r="E108" s="86">
        <f>교통사업팀!D49</f>
        <v>4</v>
      </c>
      <c r="F108" s="403"/>
      <c r="G108" s="405"/>
    </row>
    <row r="109" spans="1:8">
      <c r="A109" s="392"/>
      <c r="B109" s="382"/>
      <c r="C109" s="382"/>
      <c r="D109" s="85" t="s">
        <v>169</v>
      </c>
      <c r="E109" s="86">
        <f>교통사업팀!D50</f>
        <v>1</v>
      </c>
      <c r="F109" s="403"/>
      <c r="G109" s="405"/>
    </row>
    <row r="110" spans="1:8">
      <c r="A110" s="392"/>
      <c r="B110" s="382"/>
      <c r="C110" s="382"/>
      <c r="D110" s="85" t="s">
        <v>170</v>
      </c>
      <c r="E110" s="86">
        <f>교통사업팀!D51</f>
        <v>0</v>
      </c>
      <c r="F110" s="403"/>
      <c r="G110" s="405"/>
    </row>
    <row r="111" spans="1:8">
      <c r="A111" s="392"/>
      <c r="B111" s="382"/>
      <c r="C111" s="382"/>
      <c r="D111" s="85" t="s">
        <v>178</v>
      </c>
      <c r="E111" s="86">
        <f>교통사업팀!D52</f>
        <v>0</v>
      </c>
      <c r="F111" s="403"/>
      <c r="G111" s="405"/>
    </row>
    <row r="112" spans="1:8">
      <c r="A112" s="392"/>
      <c r="B112" s="382"/>
      <c r="C112" s="382"/>
      <c r="D112" s="85" t="s">
        <v>171</v>
      </c>
      <c r="E112" s="86">
        <f>교통사업팀!D53</f>
        <v>0</v>
      </c>
      <c r="F112" s="403"/>
      <c r="G112" s="405"/>
    </row>
    <row r="113" spans="1:7">
      <c r="A113" s="392"/>
      <c r="B113" s="382" t="s">
        <v>155</v>
      </c>
      <c r="C113" s="382">
        <f>교통사업팀!$B$54</f>
        <v>7</v>
      </c>
      <c r="D113" s="85" t="s">
        <v>172</v>
      </c>
      <c r="E113" s="86">
        <f>교통사업팀!D54</f>
        <v>0</v>
      </c>
      <c r="F113" s="403"/>
      <c r="G113" s="405"/>
    </row>
    <row r="114" spans="1:7">
      <c r="A114" s="392"/>
      <c r="B114" s="382"/>
      <c r="C114" s="382"/>
      <c r="D114" s="85" t="s">
        <v>173</v>
      </c>
      <c r="E114" s="86">
        <f>교통사업팀!D55</f>
        <v>0</v>
      </c>
      <c r="F114" s="403"/>
      <c r="G114" s="405"/>
    </row>
    <row r="115" spans="1:7">
      <c r="A115" s="392"/>
      <c r="B115" s="382"/>
      <c r="C115" s="382"/>
      <c r="D115" s="85" t="s">
        <v>174</v>
      </c>
      <c r="E115" s="86">
        <f>교통사업팀!D56</f>
        <v>4</v>
      </c>
      <c r="F115" s="403"/>
      <c r="G115" s="405"/>
    </row>
    <row r="116" spans="1:7">
      <c r="A116" s="392"/>
      <c r="B116" s="382"/>
      <c r="C116" s="382"/>
      <c r="D116" s="85" t="s">
        <v>175</v>
      </c>
      <c r="E116" s="86">
        <f>교통사업팀!D57</f>
        <v>1</v>
      </c>
      <c r="F116" s="403"/>
      <c r="G116" s="405"/>
    </row>
    <row r="117" spans="1:7">
      <c r="A117" s="392"/>
      <c r="B117" s="382"/>
      <c r="C117" s="382"/>
      <c r="D117" s="85" t="s">
        <v>176</v>
      </c>
      <c r="E117" s="86">
        <f>교통사업팀!D58</f>
        <v>1</v>
      </c>
      <c r="F117" s="403"/>
      <c r="G117" s="405"/>
    </row>
    <row r="118" spans="1:7">
      <c r="A118" s="392"/>
      <c r="B118" s="382"/>
      <c r="C118" s="382"/>
      <c r="D118" s="85" t="s">
        <v>177</v>
      </c>
      <c r="E118" s="86">
        <f>교통사업팀!D59</f>
        <v>1</v>
      </c>
      <c r="F118" s="403"/>
      <c r="G118" s="405"/>
    </row>
    <row r="119" spans="1:7">
      <c r="A119" s="392"/>
      <c r="B119" s="93" t="s">
        <v>189</v>
      </c>
      <c r="C119" s="94">
        <f>SUM(C97:C118)</f>
        <v>13</v>
      </c>
      <c r="D119" s="93" t="s">
        <v>189</v>
      </c>
      <c r="E119" s="94">
        <f>SUM(E97:E118)</f>
        <v>13</v>
      </c>
      <c r="F119" s="403"/>
      <c r="G119" s="405"/>
    </row>
    <row r="120" spans="1:7">
      <c r="A120" s="393" t="s">
        <v>195</v>
      </c>
      <c r="B120" s="382" t="s">
        <v>153</v>
      </c>
      <c r="C120" s="382">
        <f>환경지원팀!$B$38</f>
        <v>7</v>
      </c>
      <c r="D120" s="85" t="s">
        <v>157</v>
      </c>
      <c r="E120" s="86">
        <f>환경지원팀!D38</f>
        <v>0</v>
      </c>
      <c r="F120" s="402">
        <f>추진성과!N$9</f>
        <v>68.888888888888886</v>
      </c>
      <c r="G120" s="404">
        <f>추진성과!N$6</f>
        <v>0.42857142857142855</v>
      </c>
    </row>
    <row r="121" spans="1:7">
      <c r="A121" s="393"/>
      <c r="B121" s="382"/>
      <c r="C121" s="382"/>
      <c r="D121" s="85" t="s">
        <v>158</v>
      </c>
      <c r="E121" s="86">
        <f>환경지원팀!D39</f>
        <v>4</v>
      </c>
      <c r="F121" s="403"/>
      <c r="G121" s="405"/>
    </row>
    <row r="122" spans="1:7">
      <c r="A122" s="393"/>
      <c r="B122" s="382"/>
      <c r="C122" s="382"/>
      <c r="D122" s="85" t="s">
        <v>159</v>
      </c>
      <c r="E122" s="86">
        <f>환경지원팀!D40</f>
        <v>0</v>
      </c>
      <c r="F122" s="403"/>
      <c r="G122" s="405"/>
    </row>
    <row r="123" spans="1:7">
      <c r="A123" s="393"/>
      <c r="B123" s="382"/>
      <c r="C123" s="382"/>
      <c r="D123" s="85" t="s">
        <v>160</v>
      </c>
      <c r="E123" s="86">
        <f>환경지원팀!D41</f>
        <v>1</v>
      </c>
      <c r="F123" s="403"/>
      <c r="G123" s="405"/>
    </row>
    <row r="124" spans="1:7">
      <c r="A124" s="393"/>
      <c r="B124" s="382"/>
      <c r="C124" s="382"/>
      <c r="D124" s="85" t="s">
        <v>161</v>
      </c>
      <c r="E124" s="86">
        <f>환경지원팀!D42</f>
        <v>2</v>
      </c>
      <c r="F124" s="403"/>
      <c r="G124" s="405"/>
    </row>
    <row r="125" spans="1:7">
      <c r="A125" s="393"/>
      <c r="B125" s="382"/>
      <c r="C125" s="382"/>
      <c r="D125" s="85" t="s">
        <v>162</v>
      </c>
      <c r="E125" s="86">
        <f>환경지원팀!D43</f>
        <v>0</v>
      </c>
      <c r="F125" s="403"/>
      <c r="G125" s="405"/>
    </row>
    <row r="126" spans="1:7">
      <c r="A126" s="393"/>
      <c r="B126" s="382" t="s">
        <v>154</v>
      </c>
      <c r="C126" s="382">
        <f>환경지원팀!$B$44</f>
        <v>0</v>
      </c>
      <c r="D126" s="85" t="s">
        <v>163</v>
      </c>
      <c r="E126" s="86">
        <f>환경지원팀!D44</f>
        <v>0</v>
      </c>
      <c r="F126" s="403"/>
      <c r="G126" s="405"/>
    </row>
    <row r="127" spans="1:7">
      <c r="A127" s="393"/>
      <c r="B127" s="382"/>
      <c r="C127" s="382"/>
      <c r="D127" s="85" t="s">
        <v>164</v>
      </c>
      <c r="E127" s="86">
        <f>환경지원팀!D45</f>
        <v>0</v>
      </c>
      <c r="F127" s="403"/>
      <c r="G127" s="405"/>
    </row>
    <row r="128" spans="1:7">
      <c r="A128" s="393"/>
      <c r="B128" s="382"/>
      <c r="C128" s="382"/>
      <c r="D128" s="85" t="s">
        <v>165</v>
      </c>
      <c r="E128" s="86">
        <f>환경지원팀!D46</f>
        <v>0</v>
      </c>
      <c r="F128" s="403"/>
      <c r="G128" s="405"/>
    </row>
    <row r="129" spans="1:7">
      <c r="A129" s="393"/>
      <c r="B129" s="382"/>
      <c r="C129" s="382"/>
      <c r="D129" s="85" t="s">
        <v>166</v>
      </c>
      <c r="E129" s="86">
        <f>환경지원팀!D47</f>
        <v>0</v>
      </c>
      <c r="F129" s="403"/>
      <c r="G129" s="405"/>
    </row>
    <row r="130" spans="1:7">
      <c r="A130" s="393"/>
      <c r="B130" s="382"/>
      <c r="C130" s="382"/>
      <c r="D130" s="85" t="s">
        <v>167</v>
      </c>
      <c r="E130" s="86">
        <f>환경지원팀!D48</f>
        <v>0</v>
      </c>
      <c r="F130" s="403"/>
      <c r="G130" s="405"/>
    </row>
    <row r="131" spans="1:7">
      <c r="A131" s="393"/>
      <c r="B131" s="382" t="s">
        <v>156</v>
      </c>
      <c r="C131" s="382">
        <f>환경지원팀!$B$49</f>
        <v>0</v>
      </c>
      <c r="D131" s="85" t="s">
        <v>168</v>
      </c>
      <c r="E131" s="86">
        <f>환경지원팀!D49</f>
        <v>0</v>
      </c>
      <c r="F131" s="403"/>
      <c r="G131" s="405"/>
    </row>
    <row r="132" spans="1:7">
      <c r="A132" s="393"/>
      <c r="B132" s="382"/>
      <c r="C132" s="382"/>
      <c r="D132" s="85" t="s">
        <v>169</v>
      </c>
      <c r="E132" s="86">
        <f>환경지원팀!D50</f>
        <v>0</v>
      </c>
      <c r="F132" s="403"/>
      <c r="G132" s="405"/>
    </row>
    <row r="133" spans="1:7">
      <c r="A133" s="393"/>
      <c r="B133" s="382"/>
      <c r="C133" s="382"/>
      <c r="D133" s="85" t="s">
        <v>170</v>
      </c>
      <c r="E133" s="86">
        <f>환경지원팀!D51</f>
        <v>0</v>
      </c>
      <c r="F133" s="403"/>
      <c r="G133" s="405"/>
    </row>
    <row r="134" spans="1:7">
      <c r="A134" s="393"/>
      <c r="B134" s="382"/>
      <c r="C134" s="382"/>
      <c r="D134" s="85" t="s">
        <v>178</v>
      </c>
      <c r="E134" s="86">
        <f>환경지원팀!D52</f>
        <v>0</v>
      </c>
      <c r="F134" s="403"/>
      <c r="G134" s="405"/>
    </row>
    <row r="135" spans="1:7">
      <c r="A135" s="393"/>
      <c r="B135" s="382"/>
      <c r="C135" s="382"/>
      <c r="D135" s="85" t="s">
        <v>171</v>
      </c>
      <c r="E135" s="86">
        <f>환경지원팀!D53</f>
        <v>0</v>
      </c>
      <c r="F135" s="403"/>
      <c r="G135" s="405"/>
    </row>
    <row r="136" spans="1:7">
      <c r="A136" s="393"/>
      <c r="B136" s="382" t="s">
        <v>155</v>
      </c>
      <c r="C136" s="382">
        <f>환경지원팀!$B$54</f>
        <v>0</v>
      </c>
      <c r="D136" s="85" t="s">
        <v>172</v>
      </c>
      <c r="E136" s="86">
        <f>환경지원팀!D54</f>
        <v>0</v>
      </c>
      <c r="F136" s="403"/>
      <c r="G136" s="405"/>
    </row>
    <row r="137" spans="1:7">
      <c r="A137" s="393"/>
      <c r="B137" s="382"/>
      <c r="C137" s="382"/>
      <c r="D137" s="85" t="s">
        <v>173</v>
      </c>
      <c r="E137" s="86">
        <f>환경지원팀!D55</f>
        <v>0</v>
      </c>
      <c r="F137" s="403"/>
      <c r="G137" s="405"/>
    </row>
    <row r="138" spans="1:7">
      <c r="A138" s="393"/>
      <c r="B138" s="382"/>
      <c r="C138" s="382"/>
      <c r="D138" s="85" t="s">
        <v>174</v>
      </c>
      <c r="E138" s="86">
        <f>환경지원팀!D56</f>
        <v>0</v>
      </c>
      <c r="F138" s="403"/>
      <c r="G138" s="405"/>
    </row>
    <row r="139" spans="1:7">
      <c r="A139" s="393"/>
      <c r="B139" s="382"/>
      <c r="C139" s="382"/>
      <c r="D139" s="85" t="s">
        <v>175</v>
      </c>
      <c r="E139" s="86">
        <f>환경지원팀!D57</f>
        <v>0</v>
      </c>
      <c r="F139" s="403"/>
      <c r="G139" s="405"/>
    </row>
    <row r="140" spans="1:7">
      <c r="A140" s="393"/>
      <c r="B140" s="382"/>
      <c r="C140" s="382"/>
      <c r="D140" s="85" t="s">
        <v>176</v>
      </c>
      <c r="E140" s="86">
        <f>환경지원팀!D58</f>
        <v>0</v>
      </c>
      <c r="F140" s="403"/>
      <c r="G140" s="405"/>
    </row>
    <row r="141" spans="1:7">
      <c r="A141" s="393"/>
      <c r="B141" s="382"/>
      <c r="C141" s="382"/>
      <c r="D141" s="85" t="s">
        <v>177</v>
      </c>
      <c r="E141" s="86">
        <f>환경지원팀!D59</f>
        <v>0</v>
      </c>
      <c r="F141" s="403"/>
      <c r="G141" s="405"/>
    </row>
    <row r="142" spans="1:7">
      <c r="A142" s="393"/>
      <c r="B142" s="93" t="s">
        <v>189</v>
      </c>
      <c r="C142" s="94">
        <f>SUM(C120:C141)</f>
        <v>7</v>
      </c>
      <c r="D142" s="93" t="s">
        <v>189</v>
      </c>
      <c r="E142" s="94">
        <f>SUM(E120:E141)</f>
        <v>7</v>
      </c>
      <c r="F142" s="403"/>
      <c r="G142" s="405"/>
    </row>
    <row r="143" spans="1:7">
      <c r="A143" s="399" t="s">
        <v>196</v>
      </c>
      <c r="B143" s="382" t="s">
        <v>153</v>
      </c>
      <c r="C143" s="382">
        <f>환경사업팀!$B$37</f>
        <v>3</v>
      </c>
      <c r="D143" s="85" t="s">
        <v>157</v>
      </c>
      <c r="E143" s="86">
        <f>환경사업팀!D37</f>
        <v>1</v>
      </c>
      <c r="F143" s="402">
        <f>추진성과!O$9</f>
        <v>39.583333333333329</v>
      </c>
      <c r="G143" s="404">
        <f>추진성과!O$6</f>
        <v>0.35714285714285715</v>
      </c>
    </row>
    <row r="144" spans="1:7">
      <c r="A144" s="400"/>
      <c r="B144" s="382"/>
      <c r="C144" s="382"/>
      <c r="D144" s="85" t="s">
        <v>158</v>
      </c>
      <c r="E144" s="86">
        <f>환경사업팀!D38</f>
        <v>1</v>
      </c>
      <c r="F144" s="403"/>
      <c r="G144" s="405"/>
    </row>
    <row r="145" spans="1:7">
      <c r="A145" s="400"/>
      <c r="B145" s="382"/>
      <c r="C145" s="382"/>
      <c r="D145" s="85" t="s">
        <v>159</v>
      </c>
      <c r="E145" s="86">
        <f>환경사업팀!D39</f>
        <v>0</v>
      </c>
      <c r="F145" s="403"/>
      <c r="G145" s="405"/>
    </row>
    <row r="146" spans="1:7">
      <c r="A146" s="400"/>
      <c r="B146" s="382"/>
      <c r="C146" s="382"/>
      <c r="D146" s="85" t="s">
        <v>160</v>
      </c>
      <c r="E146" s="86">
        <f>환경사업팀!D40</f>
        <v>0</v>
      </c>
      <c r="F146" s="403"/>
      <c r="G146" s="405"/>
    </row>
    <row r="147" spans="1:7">
      <c r="A147" s="400"/>
      <c r="B147" s="382"/>
      <c r="C147" s="382"/>
      <c r="D147" s="85" t="s">
        <v>161</v>
      </c>
      <c r="E147" s="86">
        <f>환경사업팀!D41</f>
        <v>0</v>
      </c>
      <c r="F147" s="403"/>
      <c r="G147" s="405"/>
    </row>
    <row r="148" spans="1:7">
      <c r="A148" s="400"/>
      <c r="B148" s="382"/>
      <c r="C148" s="382"/>
      <c r="D148" s="85" t="s">
        <v>162</v>
      </c>
      <c r="E148" s="86">
        <f>환경사업팀!D42</f>
        <v>1</v>
      </c>
      <c r="F148" s="403"/>
      <c r="G148" s="405"/>
    </row>
    <row r="149" spans="1:7">
      <c r="A149" s="400"/>
      <c r="B149" s="382" t="s">
        <v>154</v>
      </c>
      <c r="C149" s="382">
        <f>환경사업팀!$B$43</f>
        <v>7</v>
      </c>
      <c r="D149" s="85" t="s">
        <v>163</v>
      </c>
      <c r="E149" s="86">
        <f>환경사업팀!D43</f>
        <v>1</v>
      </c>
      <c r="F149" s="403"/>
      <c r="G149" s="405"/>
    </row>
    <row r="150" spans="1:7">
      <c r="A150" s="400"/>
      <c r="B150" s="382"/>
      <c r="C150" s="382"/>
      <c r="D150" s="85" t="s">
        <v>164</v>
      </c>
      <c r="E150" s="86">
        <f>환경사업팀!D44</f>
        <v>0</v>
      </c>
      <c r="F150" s="403"/>
      <c r="G150" s="405"/>
    </row>
    <row r="151" spans="1:7">
      <c r="A151" s="400"/>
      <c r="B151" s="382"/>
      <c r="C151" s="382"/>
      <c r="D151" s="85" t="s">
        <v>165</v>
      </c>
      <c r="E151" s="86">
        <f>환경사업팀!D45</f>
        <v>4</v>
      </c>
      <c r="F151" s="403"/>
      <c r="G151" s="405"/>
    </row>
    <row r="152" spans="1:7">
      <c r="A152" s="400"/>
      <c r="B152" s="382"/>
      <c r="C152" s="382"/>
      <c r="D152" s="85" t="s">
        <v>166</v>
      </c>
      <c r="E152" s="86">
        <f>환경사업팀!D46</f>
        <v>2</v>
      </c>
      <c r="F152" s="403"/>
      <c r="G152" s="405"/>
    </row>
    <row r="153" spans="1:7">
      <c r="A153" s="400"/>
      <c r="B153" s="382"/>
      <c r="C153" s="382"/>
      <c r="D153" s="85" t="s">
        <v>167</v>
      </c>
      <c r="E153" s="86">
        <f>환경사업팀!D47</f>
        <v>0</v>
      </c>
      <c r="F153" s="403"/>
      <c r="G153" s="405"/>
    </row>
    <row r="154" spans="1:7">
      <c r="A154" s="400"/>
      <c r="B154" s="382" t="s">
        <v>156</v>
      </c>
      <c r="C154" s="382">
        <f>환경사업팀!$B$48</f>
        <v>3</v>
      </c>
      <c r="D154" s="85" t="s">
        <v>168</v>
      </c>
      <c r="E154" s="86">
        <f>환경사업팀!D48</f>
        <v>0</v>
      </c>
      <c r="F154" s="403"/>
      <c r="G154" s="405"/>
    </row>
    <row r="155" spans="1:7">
      <c r="A155" s="400"/>
      <c r="B155" s="382"/>
      <c r="C155" s="382"/>
      <c r="D155" s="85" t="s">
        <v>169</v>
      </c>
      <c r="E155" s="86">
        <f>환경사업팀!D49</f>
        <v>0</v>
      </c>
      <c r="F155" s="403"/>
      <c r="G155" s="405"/>
    </row>
    <row r="156" spans="1:7">
      <c r="A156" s="400"/>
      <c r="B156" s="382"/>
      <c r="C156" s="382"/>
      <c r="D156" s="85" t="s">
        <v>170</v>
      </c>
      <c r="E156" s="86">
        <f>환경사업팀!D50</f>
        <v>3</v>
      </c>
      <c r="F156" s="403"/>
      <c r="G156" s="405"/>
    </row>
    <row r="157" spans="1:7">
      <c r="A157" s="400"/>
      <c r="B157" s="382"/>
      <c r="C157" s="382"/>
      <c r="D157" s="85" t="s">
        <v>178</v>
      </c>
      <c r="E157" s="86">
        <f>환경사업팀!D51</f>
        <v>0</v>
      </c>
      <c r="F157" s="403"/>
      <c r="G157" s="405"/>
    </row>
    <row r="158" spans="1:7">
      <c r="A158" s="400"/>
      <c r="B158" s="382"/>
      <c r="C158" s="382"/>
      <c r="D158" s="85" t="s">
        <v>171</v>
      </c>
      <c r="E158" s="86">
        <f>환경사업팀!D52</f>
        <v>0</v>
      </c>
      <c r="F158" s="403"/>
      <c r="G158" s="405"/>
    </row>
    <row r="159" spans="1:7">
      <c r="A159" s="400"/>
      <c r="B159" s="382" t="s">
        <v>155</v>
      </c>
      <c r="C159" s="382">
        <f>환경사업팀!$B$53</f>
        <v>1</v>
      </c>
      <c r="D159" s="85" t="s">
        <v>172</v>
      </c>
      <c r="E159" s="86">
        <f>환경사업팀!D53</f>
        <v>0</v>
      </c>
      <c r="F159" s="403"/>
      <c r="G159" s="405"/>
    </row>
    <row r="160" spans="1:7">
      <c r="A160" s="400"/>
      <c r="B160" s="382"/>
      <c r="C160" s="382"/>
      <c r="D160" s="85" t="s">
        <v>173</v>
      </c>
      <c r="E160" s="86">
        <f>환경사업팀!D54</f>
        <v>0</v>
      </c>
      <c r="F160" s="403"/>
      <c r="G160" s="405"/>
    </row>
    <row r="161" spans="1:7">
      <c r="A161" s="400"/>
      <c r="B161" s="382"/>
      <c r="C161" s="382"/>
      <c r="D161" s="85" t="s">
        <v>174</v>
      </c>
      <c r="E161" s="86">
        <f>환경사업팀!D55</f>
        <v>0</v>
      </c>
      <c r="F161" s="403"/>
      <c r="G161" s="405"/>
    </row>
    <row r="162" spans="1:7">
      <c r="A162" s="400"/>
      <c r="B162" s="382"/>
      <c r="C162" s="382"/>
      <c r="D162" s="85" t="s">
        <v>175</v>
      </c>
      <c r="E162" s="86">
        <f>환경사업팀!D56</f>
        <v>1</v>
      </c>
      <c r="F162" s="403"/>
      <c r="G162" s="405"/>
    </row>
    <row r="163" spans="1:7">
      <c r="A163" s="400"/>
      <c r="B163" s="382"/>
      <c r="C163" s="382"/>
      <c r="D163" s="85" t="s">
        <v>176</v>
      </c>
      <c r="E163" s="86">
        <f>환경사업팀!D57</f>
        <v>0</v>
      </c>
      <c r="F163" s="403"/>
      <c r="G163" s="405"/>
    </row>
    <row r="164" spans="1:7">
      <c r="A164" s="400"/>
      <c r="B164" s="382"/>
      <c r="C164" s="382"/>
      <c r="D164" s="85" t="s">
        <v>177</v>
      </c>
      <c r="E164" s="86">
        <f>환경사업팀!D58</f>
        <v>0</v>
      </c>
      <c r="F164" s="403"/>
      <c r="G164" s="405"/>
    </row>
    <row r="165" spans="1:7">
      <c r="A165" s="400"/>
      <c r="B165" s="93" t="s">
        <v>189</v>
      </c>
      <c r="C165" s="94">
        <f>SUM(C143:C164)</f>
        <v>14</v>
      </c>
      <c r="D165" s="93" t="s">
        <v>189</v>
      </c>
      <c r="E165" s="94">
        <f>SUM(E143:E164)</f>
        <v>14</v>
      </c>
      <c r="F165" s="403"/>
      <c r="G165" s="405"/>
    </row>
    <row r="166" spans="1:7">
      <c r="A166" s="397" t="s">
        <v>197</v>
      </c>
      <c r="B166" s="382" t="s">
        <v>153</v>
      </c>
      <c r="C166" s="382">
        <f>행복나루!$B$35</f>
        <v>4</v>
      </c>
      <c r="D166" s="85" t="s">
        <v>157</v>
      </c>
      <c r="E166" s="86">
        <f>행복나루!D35</f>
        <v>0</v>
      </c>
      <c r="F166" s="402">
        <f>추진성과!P$9</f>
        <v>63.528000000000006</v>
      </c>
      <c r="G166" s="404">
        <f>추진성과!P$6</f>
        <v>0.05</v>
      </c>
    </row>
    <row r="167" spans="1:7">
      <c r="A167" s="398"/>
      <c r="B167" s="382"/>
      <c r="C167" s="382"/>
      <c r="D167" s="85" t="s">
        <v>158</v>
      </c>
      <c r="E167" s="86">
        <f>행복나루!D36</f>
        <v>0</v>
      </c>
      <c r="F167" s="403"/>
      <c r="G167" s="405"/>
    </row>
    <row r="168" spans="1:7">
      <c r="A168" s="398"/>
      <c r="B168" s="382"/>
      <c r="C168" s="382"/>
      <c r="D168" s="85" t="s">
        <v>159</v>
      </c>
      <c r="E168" s="86">
        <f>행복나루!D37</f>
        <v>0</v>
      </c>
      <c r="F168" s="403"/>
      <c r="G168" s="405"/>
    </row>
    <row r="169" spans="1:7">
      <c r="A169" s="398"/>
      <c r="B169" s="382"/>
      <c r="C169" s="382"/>
      <c r="D169" s="85" t="s">
        <v>160</v>
      </c>
      <c r="E169" s="86">
        <f>행복나루!D38</f>
        <v>0</v>
      </c>
      <c r="F169" s="403"/>
      <c r="G169" s="405"/>
    </row>
    <row r="170" spans="1:7">
      <c r="A170" s="398"/>
      <c r="B170" s="382"/>
      <c r="C170" s="382"/>
      <c r="D170" s="85" t="s">
        <v>161</v>
      </c>
      <c r="E170" s="86">
        <f>행복나루!D39</f>
        <v>0</v>
      </c>
      <c r="F170" s="403"/>
      <c r="G170" s="405"/>
    </row>
    <row r="171" spans="1:7">
      <c r="A171" s="398"/>
      <c r="B171" s="382"/>
      <c r="C171" s="382"/>
      <c r="D171" s="85" t="s">
        <v>162</v>
      </c>
      <c r="E171" s="86">
        <f>행복나루!D40</f>
        <v>4</v>
      </c>
      <c r="F171" s="403"/>
      <c r="G171" s="405"/>
    </row>
    <row r="172" spans="1:7">
      <c r="A172" s="398"/>
      <c r="B172" s="382" t="s">
        <v>154</v>
      </c>
      <c r="C172" s="382">
        <f>행복나루!$B$41</f>
        <v>3</v>
      </c>
      <c r="D172" s="85" t="s">
        <v>163</v>
      </c>
      <c r="E172" s="86">
        <f>행복나루!D41</f>
        <v>3</v>
      </c>
      <c r="F172" s="403"/>
      <c r="G172" s="405"/>
    </row>
    <row r="173" spans="1:7">
      <c r="A173" s="398"/>
      <c r="B173" s="382"/>
      <c r="C173" s="382"/>
      <c r="D173" s="85" t="s">
        <v>164</v>
      </c>
      <c r="E173" s="86">
        <f>행복나루!D42</f>
        <v>0</v>
      </c>
      <c r="F173" s="403"/>
      <c r="G173" s="405"/>
    </row>
    <row r="174" spans="1:7">
      <c r="A174" s="398"/>
      <c r="B174" s="382"/>
      <c r="C174" s="382"/>
      <c r="D174" s="85" t="s">
        <v>165</v>
      </c>
      <c r="E174" s="86">
        <f>행복나루!D43</f>
        <v>0</v>
      </c>
      <c r="F174" s="403"/>
      <c r="G174" s="405"/>
    </row>
    <row r="175" spans="1:7">
      <c r="A175" s="398"/>
      <c r="B175" s="382"/>
      <c r="C175" s="382"/>
      <c r="D175" s="85" t="s">
        <v>166</v>
      </c>
      <c r="E175" s="86">
        <f>행복나루!D44</f>
        <v>0</v>
      </c>
      <c r="F175" s="403"/>
      <c r="G175" s="405"/>
    </row>
    <row r="176" spans="1:7">
      <c r="A176" s="398"/>
      <c r="B176" s="382"/>
      <c r="C176" s="382"/>
      <c r="D176" s="85" t="s">
        <v>167</v>
      </c>
      <c r="E176" s="86">
        <f>행복나루!D45</f>
        <v>0</v>
      </c>
      <c r="F176" s="403"/>
      <c r="G176" s="405"/>
    </row>
    <row r="177" spans="1:7">
      <c r="A177" s="398"/>
      <c r="B177" s="382" t="s">
        <v>156</v>
      </c>
      <c r="C177" s="382">
        <f>행복나루!$B$46</f>
        <v>1</v>
      </c>
      <c r="D177" s="85" t="s">
        <v>168</v>
      </c>
      <c r="E177" s="86">
        <f>행복나루!D46</f>
        <v>1</v>
      </c>
      <c r="F177" s="403"/>
      <c r="G177" s="405"/>
    </row>
    <row r="178" spans="1:7">
      <c r="A178" s="398"/>
      <c r="B178" s="382"/>
      <c r="C178" s="382"/>
      <c r="D178" s="85" t="s">
        <v>169</v>
      </c>
      <c r="E178" s="86">
        <f>행복나루!D47</f>
        <v>0</v>
      </c>
      <c r="F178" s="403"/>
      <c r="G178" s="405"/>
    </row>
    <row r="179" spans="1:7">
      <c r="A179" s="398"/>
      <c r="B179" s="382"/>
      <c r="C179" s="382"/>
      <c r="D179" s="85" t="s">
        <v>170</v>
      </c>
      <c r="E179" s="86">
        <f>행복나루!D48</f>
        <v>0</v>
      </c>
      <c r="F179" s="403"/>
      <c r="G179" s="405"/>
    </row>
    <row r="180" spans="1:7">
      <c r="A180" s="398"/>
      <c r="B180" s="382"/>
      <c r="C180" s="382"/>
      <c r="D180" s="85" t="s">
        <v>178</v>
      </c>
      <c r="E180" s="86">
        <f>행복나루!D49</f>
        <v>0</v>
      </c>
      <c r="F180" s="403"/>
      <c r="G180" s="405"/>
    </row>
    <row r="181" spans="1:7">
      <c r="A181" s="398"/>
      <c r="B181" s="382"/>
      <c r="C181" s="382"/>
      <c r="D181" s="85" t="s">
        <v>171</v>
      </c>
      <c r="E181" s="86">
        <f>행복나루!D50</f>
        <v>0</v>
      </c>
      <c r="F181" s="403"/>
      <c r="G181" s="405"/>
    </row>
    <row r="182" spans="1:7">
      <c r="A182" s="398"/>
      <c r="B182" s="382" t="s">
        <v>155</v>
      </c>
      <c r="C182" s="382">
        <f>행복나루!$B$51</f>
        <v>12</v>
      </c>
      <c r="D182" s="85" t="s">
        <v>172</v>
      </c>
      <c r="E182" s="86">
        <f>행복나루!D51</f>
        <v>0</v>
      </c>
      <c r="F182" s="403"/>
      <c r="G182" s="405"/>
    </row>
    <row r="183" spans="1:7">
      <c r="A183" s="398"/>
      <c r="B183" s="382"/>
      <c r="C183" s="382"/>
      <c r="D183" s="85" t="s">
        <v>173</v>
      </c>
      <c r="E183" s="86">
        <f>행복나루!D52</f>
        <v>8</v>
      </c>
      <c r="F183" s="403"/>
      <c r="G183" s="405"/>
    </row>
    <row r="184" spans="1:7">
      <c r="A184" s="398"/>
      <c r="B184" s="382"/>
      <c r="C184" s="382"/>
      <c r="D184" s="85" t="s">
        <v>174</v>
      </c>
      <c r="E184" s="86">
        <f>행복나루!D53</f>
        <v>0</v>
      </c>
      <c r="F184" s="403"/>
      <c r="G184" s="405"/>
    </row>
    <row r="185" spans="1:7">
      <c r="A185" s="398"/>
      <c r="B185" s="382"/>
      <c r="C185" s="382"/>
      <c r="D185" s="85" t="s">
        <v>175</v>
      </c>
      <c r="E185" s="86">
        <f>행복나루!D54</f>
        <v>4</v>
      </c>
      <c r="F185" s="403"/>
      <c r="G185" s="405"/>
    </row>
    <row r="186" spans="1:7">
      <c r="A186" s="398"/>
      <c r="B186" s="382"/>
      <c r="C186" s="382"/>
      <c r="D186" s="85" t="s">
        <v>176</v>
      </c>
      <c r="E186" s="86">
        <f>행복나루!D55</f>
        <v>0</v>
      </c>
      <c r="F186" s="403"/>
      <c r="G186" s="405"/>
    </row>
    <row r="187" spans="1:7">
      <c r="A187" s="398"/>
      <c r="B187" s="382"/>
      <c r="C187" s="382"/>
      <c r="D187" s="85" t="s">
        <v>177</v>
      </c>
      <c r="E187" s="86">
        <f>행복나루!D56</f>
        <v>0</v>
      </c>
      <c r="F187" s="403"/>
      <c r="G187" s="405"/>
    </row>
    <row r="188" spans="1:7">
      <c r="A188" s="398"/>
      <c r="B188" s="93" t="s">
        <v>189</v>
      </c>
      <c r="C188" s="94">
        <f>SUM(C166:C187)</f>
        <v>20</v>
      </c>
      <c r="D188" s="93" t="s">
        <v>189</v>
      </c>
      <c r="E188" s="94">
        <f>SUM(E166:E187)</f>
        <v>20</v>
      </c>
      <c r="F188" s="403"/>
      <c r="G188" s="405"/>
    </row>
  </sheetData>
  <mergeCells count="92">
    <mergeCell ref="F166:F188"/>
    <mergeCell ref="G166:G188"/>
    <mergeCell ref="F97:F119"/>
    <mergeCell ref="G97:G119"/>
    <mergeCell ref="F120:F142"/>
    <mergeCell ref="G120:G142"/>
    <mergeCell ref="F143:F165"/>
    <mergeCell ref="G143:G165"/>
    <mergeCell ref="F28:F50"/>
    <mergeCell ref="G28:G50"/>
    <mergeCell ref="F51:F73"/>
    <mergeCell ref="G51:G73"/>
    <mergeCell ref="F74:F96"/>
    <mergeCell ref="G74:G96"/>
    <mergeCell ref="G4:H4"/>
    <mergeCell ref="A1:G3"/>
    <mergeCell ref="F5:F27"/>
    <mergeCell ref="G5:G27"/>
    <mergeCell ref="A166:A188"/>
    <mergeCell ref="B166:B171"/>
    <mergeCell ref="C166:C171"/>
    <mergeCell ref="B172:B176"/>
    <mergeCell ref="C172:C176"/>
    <mergeCell ref="B177:B181"/>
    <mergeCell ref="C177:C181"/>
    <mergeCell ref="B182:B187"/>
    <mergeCell ref="C182:C187"/>
    <mergeCell ref="A143:A165"/>
    <mergeCell ref="B143:B148"/>
    <mergeCell ref="C143:C148"/>
    <mergeCell ref="B149:B153"/>
    <mergeCell ref="C149:C153"/>
    <mergeCell ref="B154:B158"/>
    <mergeCell ref="C154:C158"/>
    <mergeCell ref="B159:B164"/>
    <mergeCell ref="C159:C164"/>
    <mergeCell ref="A120:A142"/>
    <mergeCell ref="B120:B125"/>
    <mergeCell ref="C120:C125"/>
    <mergeCell ref="B126:B130"/>
    <mergeCell ref="C126:C130"/>
    <mergeCell ref="B131:B135"/>
    <mergeCell ref="C131:C135"/>
    <mergeCell ref="B136:B141"/>
    <mergeCell ref="C136:C141"/>
    <mergeCell ref="A97:A119"/>
    <mergeCell ref="B97:B102"/>
    <mergeCell ref="C97:C102"/>
    <mergeCell ref="B103:B107"/>
    <mergeCell ref="C103:C107"/>
    <mergeCell ref="B108:B112"/>
    <mergeCell ref="C108:C112"/>
    <mergeCell ref="B113:B118"/>
    <mergeCell ref="C113:C118"/>
    <mergeCell ref="A74:A96"/>
    <mergeCell ref="B74:B79"/>
    <mergeCell ref="C74:C79"/>
    <mergeCell ref="B80:B84"/>
    <mergeCell ref="C80:C84"/>
    <mergeCell ref="B85:B89"/>
    <mergeCell ref="C85:C89"/>
    <mergeCell ref="B90:B95"/>
    <mergeCell ref="C90:C95"/>
    <mergeCell ref="A51:A73"/>
    <mergeCell ref="B51:B56"/>
    <mergeCell ref="C51:C56"/>
    <mergeCell ref="B57:B61"/>
    <mergeCell ref="C57:C61"/>
    <mergeCell ref="B62:B66"/>
    <mergeCell ref="C62:C66"/>
    <mergeCell ref="B67:B72"/>
    <mergeCell ref="C67:C72"/>
    <mergeCell ref="A28:A50"/>
    <mergeCell ref="B28:B33"/>
    <mergeCell ref="C28:C33"/>
    <mergeCell ref="B34:B38"/>
    <mergeCell ref="C34:C38"/>
    <mergeCell ref="B39:B43"/>
    <mergeCell ref="C39:C43"/>
    <mergeCell ref="B44:B49"/>
    <mergeCell ref="C44:C49"/>
    <mergeCell ref="A5:A27"/>
    <mergeCell ref="B5:B10"/>
    <mergeCell ref="C5:C10"/>
    <mergeCell ref="B11:B15"/>
    <mergeCell ref="C11:C15"/>
    <mergeCell ref="B16:B20"/>
    <mergeCell ref="B4:C4"/>
    <mergeCell ref="D4:E4"/>
    <mergeCell ref="C16:C20"/>
    <mergeCell ref="B21:B26"/>
    <mergeCell ref="C21:C26"/>
  </mergeCells>
  <phoneticPr fontId="1" type="noConversion"/>
  <pageMargins left="0.7" right="0.7" top="0.75" bottom="0.75" header="0.3" footer="0.3"/>
  <pageSetup paperSize="9" orientation="portrait" r:id="rId1"/>
  <rowBreaks count="1" manualBreakCount="1">
    <brk id="50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5BB5-9381-42B2-9BF2-BFE420638137}">
  <dimension ref="A1:L188"/>
  <sheetViews>
    <sheetView view="pageBreakPreview" topLeftCell="H1" zoomScaleNormal="100" zoomScaleSheetLayoutView="100" workbookViewId="0">
      <selection activeCell="L5" sqref="L5"/>
    </sheetView>
  </sheetViews>
  <sheetFormatPr defaultRowHeight="16.5"/>
  <cols>
    <col min="1" max="1" width="13" hidden="1" customWidth="1"/>
    <col min="2" max="2" width="22" hidden="1" customWidth="1"/>
    <col min="3" max="3" width="0" hidden="1" customWidth="1"/>
    <col min="4" max="4" width="23.125" hidden="1" customWidth="1"/>
    <col min="5" max="7" width="0" hidden="1" customWidth="1"/>
    <col min="8" max="8" width="22" bestFit="1" customWidth="1"/>
    <col min="9" max="9" width="8.125" customWidth="1"/>
    <col min="10" max="10" width="23.125" customWidth="1"/>
    <col min="11" max="11" width="9.5" customWidth="1"/>
    <col min="12" max="12" width="26.125" customWidth="1"/>
  </cols>
  <sheetData>
    <row r="1" spans="1:12">
      <c r="A1" s="379" t="s">
        <v>198</v>
      </c>
      <c r="B1" s="380"/>
      <c r="C1" s="380"/>
      <c r="D1" s="380"/>
      <c r="E1" s="380"/>
      <c r="H1" s="379" t="s">
        <v>200</v>
      </c>
      <c r="I1" s="380"/>
      <c r="J1" s="380"/>
      <c r="K1" s="380"/>
    </row>
    <row r="2" spans="1:12">
      <c r="A2" s="380"/>
      <c r="B2" s="380"/>
      <c r="C2" s="380"/>
      <c r="D2" s="380"/>
      <c r="E2" s="380"/>
      <c r="H2" s="380"/>
      <c r="I2" s="380"/>
      <c r="J2" s="380"/>
      <c r="K2" s="380"/>
    </row>
    <row r="3" spans="1:12">
      <c r="A3" s="380"/>
      <c r="B3" s="380"/>
      <c r="C3" s="380"/>
      <c r="D3" s="380"/>
      <c r="E3" s="380"/>
      <c r="F3" s="77"/>
      <c r="G3" s="77"/>
      <c r="H3" s="380"/>
      <c r="I3" s="380"/>
      <c r="J3" s="380"/>
      <c r="K3" s="380"/>
    </row>
    <row r="4" spans="1:12">
      <c r="A4" s="87" t="s">
        <v>199</v>
      </c>
      <c r="B4" s="381" t="s">
        <v>63</v>
      </c>
      <c r="C4" s="381"/>
      <c r="D4" s="381" t="s">
        <v>186</v>
      </c>
      <c r="E4" s="381"/>
      <c r="F4" s="77"/>
      <c r="G4" s="77"/>
      <c r="H4" s="381" t="s">
        <v>63</v>
      </c>
      <c r="I4" s="381"/>
      <c r="J4" s="381" t="s">
        <v>186</v>
      </c>
      <c r="K4" s="381"/>
    </row>
    <row r="5" spans="1:12" ht="25.5" customHeight="1">
      <c r="A5" s="383" t="s">
        <v>190</v>
      </c>
      <c r="B5" s="382" t="s">
        <v>153</v>
      </c>
      <c r="C5" s="382">
        <f>경영지원팀!$B$38</f>
        <v>10</v>
      </c>
      <c r="D5" s="85" t="s">
        <v>157</v>
      </c>
      <c r="E5" s="86">
        <f>경영지원팀!D38</f>
        <v>0</v>
      </c>
      <c r="F5" s="77"/>
      <c r="G5" s="77"/>
      <c r="H5" s="382" t="s">
        <v>153</v>
      </c>
      <c r="I5" s="382">
        <f>C5+C28+C51+C74+C97+C120+C143+C166</f>
        <v>40</v>
      </c>
      <c r="J5" s="85" t="s">
        <v>157</v>
      </c>
      <c r="K5" s="86">
        <f>E5+E28+E51+E74+E97+E120+E143+E166</f>
        <v>4</v>
      </c>
      <c r="L5" s="239">
        <f>SUM(K5:K10)-I5</f>
        <v>0</v>
      </c>
    </row>
    <row r="6" spans="1:12" ht="25.5" customHeight="1">
      <c r="A6" s="384"/>
      <c r="B6" s="382"/>
      <c r="C6" s="382"/>
      <c r="D6" s="85" t="s">
        <v>158</v>
      </c>
      <c r="E6" s="86">
        <f>경영지원팀!D39</f>
        <v>3</v>
      </c>
      <c r="F6" s="77"/>
      <c r="G6" s="77"/>
      <c r="H6" s="382"/>
      <c r="I6" s="382"/>
      <c r="J6" s="85" t="s">
        <v>158</v>
      </c>
      <c r="K6" s="86">
        <f t="shared" ref="K6:K26" si="0">E6+E29+E52+E75+E98+E121+E144+E167</f>
        <v>13</v>
      </c>
      <c r="L6" s="239"/>
    </row>
    <row r="7" spans="1:12" ht="16.5" customHeight="1">
      <c r="A7" s="384"/>
      <c r="B7" s="382"/>
      <c r="C7" s="382"/>
      <c r="D7" s="85" t="s">
        <v>159</v>
      </c>
      <c r="E7" s="86">
        <f>경영지원팀!D40</f>
        <v>5</v>
      </c>
      <c r="F7" s="77"/>
      <c r="G7" s="77"/>
      <c r="H7" s="382"/>
      <c r="I7" s="382"/>
      <c r="J7" s="85" t="s">
        <v>159</v>
      </c>
      <c r="K7" s="86">
        <f t="shared" si="0"/>
        <v>7</v>
      </c>
      <c r="L7" s="239"/>
    </row>
    <row r="8" spans="1:12">
      <c r="A8" s="384"/>
      <c r="B8" s="382"/>
      <c r="C8" s="382"/>
      <c r="D8" s="85" t="s">
        <v>160</v>
      </c>
      <c r="E8" s="86">
        <f>경영지원팀!D41</f>
        <v>0</v>
      </c>
      <c r="F8" s="77"/>
      <c r="G8" s="77"/>
      <c r="H8" s="382"/>
      <c r="I8" s="382"/>
      <c r="J8" s="85" t="s">
        <v>160</v>
      </c>
      <c r="K8" s="86">
        <f t="shared" si="0"/>
        <v>2</v>
      </c>
      <c r="L8" s="239"/>
    </row>
    <row r="9" spans="1:12">
      <c r="A9" s="384"/>
      <c r="B9" s="382"/>
      <c r="C9" s="382"/>
      <c r="D9" s="85" t="s">
        <v>161</v>
      </c>
      <c r="E9" s="86">
        <f>경영지원팀!D42</f>
        <v>1</v>
      </c>
      <c r="F9" s="77"/>
      <c r="G9" s="77"/>
      <c r="H9" s="382"/>
      <c r="I9" s="382"/>
      <c r="J9" s="85" t="s">
        <v>161</v>
      </c>
      <c r="K9" s="86">
        <f t="shared" si="0"/>
        <v>3</v>
      </c>
      <c r="L9" s="239"/>
    </row>
    <row r="10" spans="1:12">
      <c r="A10" s="384"/>
      <c r="B10" s="382"/>
      <c r="C10" s="382"/>
      <c r="D10" s="85" t="s">
        <v>162</v>
      </c>
      <c r="E10" s="86">
        <f>경영지원팀!D43</f>
        <v>1</v>
      </c>
      <c r="F10" s="77"/>
      <c r="G10" s="77"/>
      <c r="H10" s="382"/>
      <c r="I10" s="382"/>
      <c r="J10" s="85" t="s">
        <v>162</v>
      </c>
      <c r="K10" s="86">
        <f t="shared" si="0"/>
        <v>11</v>
      </c>
      <c r="L10" s="239"/>
    </row>
    <row r="11" spans="1:12" ht="25.5" customHeight="1">
      <c r="A11" s="384"/>
      <c r="B11" s="382" t="s">
        <v>154</v>
      </c>
      <c r="C11" s="382">
        <f>경영지원팀!$B$44</f>
        <v>8</v>
      </c>
      <c r="D11" s="85" t="s">
        <v>163</v>
      </c>
      <c r="E11" s="86">
        <f>경영지원팀!D44</f>
        <v>7</v>
      </c>
      <c r="F11" s="77"/>
      <c r="G11" s="77"/>
      <c r="H11" s="382" t="s">
        <v>154</v>
      </c>
      <c r="I11" s="382">
        <f>C11+C34+C57+C80+C103+C126+C149+C172</f>
        <v>23</v>
      </c>
      <c r="J11" s="85" t="s">
        <v>163</v>
      </c>
      <c r="K11" s="86">
        <f t="shared" si="0"/>
        <v>13</v>
      </c>
      <c r="L11" s="239">
        <f>SUM(K11:K15)-I11</f>
        <v>0</v>
      </c>
    </row>
    <row r="12" spans="1:12" ht="25.5" customHeight="1">
      <c r="A12" s="384"/>
      <c r="B12" s="382"/>
      <c r="C12" s="382"/>
      <c r="D12" s="85" t="s">
        <v>164</v>
      </c>
      <c r="E12" s="86">
        <f>경영지원팀!D45</f>
        <v>1</v>
      </c>
      <c r="F12" s="77"/>
      <c r="G12" s="77"/>
      <c r="H12" s="382"/>
      <c r="I12" s="382"/>
      <c r="J12" s="85" t="s">
        <v>164</v>
      </c>
      <c r="K12" s="86">
        <f t="shared" si="0"/>
        <v>1</v>
      </c>
      <c r="L12" s="239"/>
    </row>
    <row r="13" spans="1:12">
      <c r="A13" s="384"/>
      <c r="B13" s="382"/>
      <c r="C13" s="382"/>
      <c r="D13" s="85" t="s">
        <v>165</v>
      </c>
      <c r="E13" s="86">
        <f>경영지원팀!D46</f>
        <v>0</v>
      </c>
      <c r="F13" s="77"/>
      <c r="G13" s="77"/>
      <c r="H13" s="382"/>
      <c r="I13" s="382"/>
      <c r="J13" s="85" t="s">
        <v>165</v>
      </c>
      <c r="K13" s="86">
        <f t="shared" si="0"/>
        <v>7</v>
      </c>
      <c r="L13" s="239"/>
    </row>
    <row r="14" spans="1:12">
      <c r="A14" s="384"/>
      <c r="B14" s="382"/>
      <c r="C14" s="382"/>
      <c r="D14" s="85" t="s">
        <v>166</v>
      </c>
      <c r="E14" s="86">
        <f>경영지원팀!D47</f>
        <v>0</v>
      </c>
      <c r="F14" s="77"/>
      <c r="G14" s="77"/>
      <c r="H14" s="382"/>
      <c r="I14" s="382"/>
      <c r="J14" s="85" t="s">
        <v>166</v>
      </c>
      <c r="K14" s="86">
        <f t="shared" si="0"/>
        <v>2</v>
      </c>
      <c r="L14" s="239"/>
    </row>
    <row r="15" spans="1:12">
      <c r="A15" s="384"/>
      <c r="B15" s="382"/>
      <c r="C15" s="382"/>
      <c r="D15" s="85" t="s">
        <v>167</v>
      </c>
      <c r="E15" s="86">
        <f>경영지원팀!D48</f>
        <v>0</v>
      </c>
      <c r="F15" s="77"/>
      <c r="G15" s="77"/>
      <c r="H15" s="382"/>
      <c r="I15" s="382"/>
      <c r="J15" s="85" t="s">
        <v>167</v>
      </c>
      <c r="K15" s="86">
        <f t="shared" si="0"/>
        <v>0</v>
      </c>
      <c r="L15" s="239"/>
    </row>
    <row r="16" spans="1:12" ht="38.25" customHeight="1">
      <c r="A16" s="384"/>
      <c r="B16" s="382" t="s">
        <v>156</v>
      </c>
      <c r="C16" s="382">
        <f>경영지원팀!$B$49</f>
        <v>2</v>
      </c>
      <c r="D16" s="85" t="s">
        <v>168</v>
      </c>
      <c r="E16" s="86">
        <f>경영지원팀!D49</f>
        <v>0</v>
      </c>
      <c r="F16" s="77"/>
      <c r="G16" s="77"/>
      <c r="H16" s="382" t="s">
        <v>156</v>
      </c>
      <c r="I16" s="382">
        <f>C16+C39+C62+C85+C108+C131+C154+C177</f>
        <v>18</v>
      </c>
      <c r="J16" s="85" t="s">
        <v>168</v>
      </c>
      <c r="K16" s="86">
        <f t="shared" si="0"/>
        <v>6</v>
      </c>
      <c r="L16" s="3">
        <f>SUM(K16:K20)-I16</f>
        <v>0</v>
      </c>
    </row>
    <row r="17" spans="1:12" ht="38.25" customHeight="1">
      <c r="A17" s="384"/>
      <c r="B17" s="382"/>
      <c r="C17" s="382"/>
      <c r="D17" s="85" t="s">
        <v>169</v>
      </c>
      <c r="E17" s="86">
        <f>경영지원팀!D50</f>
        <v>0</v>
      </c>
      <c r="F17" s="77"/>
      <c r="G17" s="77"/>
      <c r="H17" s="382"/>
      <c r="I17" s="382"/>
      <c r="J17" s="85" t="s">
        <v>169</v>
      </c>
      <c r="K17" s="86">
        <f t="shared" si="0"/>
        <v>1</v>
      </c>
      <c r="L17" s="3"/>
    </row>
    <row r="18" spans="1:12">
      <c r="A18" s="384"/>
      <c r="B18" s="382"/>
      <c r="C18" s="382"/>
      <c r="D18" s="85" t="s">
        <v>170</v>
      </c>
      <c r="E18" s="86">
        <f>경영지원팀!D51</f>
        <v>0</v>
      </c>
      <c r="F18" s="77"/>
      <c r="G18" s="77"/>
      <c r="H18" s="382"/>
      <c r="I18" s="382"/>
      <c r="J18" s="85" t="s">
        <v>170</v>
      </c>
      <c r="K18" s="86">
        <f t="shared" si="0"/>
        <v>3</v>
      </c>
      <c r="L18" s="3"/>
    </row>
    <row r="19" spans="1:12">
      <c r="A19" s="384"/>
      <c r="B19" s="382"/>
      <c r="C19" s="382"/>
      <c r="D19" s="85" t="s">
        <v>178</v>
      </c>
      <c r="E19" s="86">
        <f>경영지원팀!D52</f>
        <v>2</v>
      </c>
      <c r="F19" s="77"/>
      <c r="G19" s="77"/>
      <c r="H19" s="382"/>
      <c r="I19" s="382"/>
      <c r="J19" s="85" t="s">
        <v>178</v>
      </c>
      <c r="K19" s="86">
        <f t="shared" si="0"/>
        <v>2</v>
      </c>
      <c r="L19" s="3"/>
    </row>
    <row r="20" spans="1:12">
      <c r="A20" s="384"/>
      <c r="B20" s="382"/>
      <c r="C20" s="382"/>
      <c r="D20" s="85" t="s">
        <v>171</v>
      </c>
      <c r="E20" s="86">
        <f>경영지원팀!D53</f>
        <v>0</v>
      </c>
      <c r="F20" s="77"/>
      <c r="G20" s="77"/>
      <c r="H20" s="382"/>
      <c r="I20" s="382"/>
      <c r="J20" s="85" t="s">
        <v>171</v>
      </c>
      <c r="K20" s="86">
        <f t="shared" si="0"/>
        <v>6</v>
      </c>
      <c r="L20" s="3"/>
    </row>
    <row r="21" spans="1:12">
      <c r="A21" s="384"/>
      <c r="B21" s="382" t="s">
        <v>155</v>
      </c>
      <c r="C21" s="382">
        <f>경영지원팀!$B$54</f>
        <v>1</v>
      </c>
      <c r="D21" s="85" t="s">
        <v>172</v>
      </c>
      <c r="E21" s="86">
        <f>경영지원팀!D54</f>
        <v>0</v>
      </c>
      <c r="F21" s="77"/>
      <c r="G21" s="77"/>
      <c r="H21" s="382" t="s">
        <v>155</v>
      </c>
      <c r="I21" s="382">
        <f>C21+C44+C67+C90+C113+C136+C159+C182</f>
        <v>37</v>
      </c>
      <c r="J21" s="85" t="s">
        <v>172</v>
      </c>
      <c r="K21" s="86">
        <f t="shared" si="0"/>
        <v>0</v>
      </c>
      <c r="L21" s="3">
        <f>SUM(K21:K26)-I21</f>
        <v>0</v>
      </c>
    </row>
    <row r="22" spans="1:12">
      <c r="A22" s="384"/>
      <c r="B22" s="382"/>
      <c r="C22" s="382"/>
      <c r="D22" s="85" t="s">
        <v>173</v>
      </c>
      <c r="E22" s="86">
        <f>경영지원팀!D55</f>
        <v>0</v>
      </c>
      <c r="F22" s="77"/>
      <c r="G22" s="77"/>
      <c r="H22" s="382"/>
      <c r="I22" s="382"/>
      <c r="J22" s="85" t="s">
        <v>173</v>
      </c>
      <c r="K22" s="86">
        <f t="shared" si="0"/>
        <v>10</v>
      </c>
    </row>
    <row r="23" spans="1:12">
      <c r="A23" s="384"/>
      <c r="B23" s="382"/>
      <c r="C23" s="382"/>
      <c r="D23" s="85" t="s">
        <v>174</v>
      </c>
      <c r="E23" s="86">
        <f>경영지원팀!D56</f>
        <v>0</v>
      </c>
      <c r="F23" s="77"/>
      <c r="G23" s="77"/>
      <c r="H23" s="382"/>
      <c r="I23" s="382"/>
      <c r="J23" s="85" t="s">
        <v>174</v>
      </c>
      <c r="K23" s="86">
        <f t="shared" si="0"/>
        <v>4</v>
      </c>
    </row>
    <row r="24" spans="1:12">
      <c r="A24" s="384"/>
      <c r="B24" s="382"/>
      <c r="C24" s="382"/>
      <c r="D24" s="85" t="s">
        <v>175</v>
      </c>
      <c r="E24" s="86">
        <f>경영지원팀!D57</f>
        <v>0</v>
      </c>
      <c r="F24" s="77"/>
      <c r="G24" s="77"/>
      <c r="H24" s="382"/>
      <c r="I24" s="382"/>
      <c r="J24" s="85" t="s">
        <v>175</v>
      </c>
      <c r="K24" s="86">
        <f t="shared" si="0"/>
        <v>20</v>
      </c>
    </row>
    <row r="25" spans="1:12">
      <c r="A25" s="384"/>
      <c r="B25" s="382"/>
      <c r="C25" s="382"/>
      <c r="D25" s="85" t="s">
        <v>176</v>
      </c>
      <c r="E25" s="86">
        <f>경영지원팀!D58</f>
        <v>0</v>
      </c>
      <c r="F25" s="77"/>
      <c r="G25" s="77"/>
      <c r="H25" s="382"/>
      <c r="I25" s="382"/>
      <c r="J25" s="85" t="s">
        <v>176</v>
      </c>
      <c r="K25" s="86">
        <f t="shared" si="0"/>
        <v>1</v>
      </c>
    </row>
    <row r="26" spans="1:12">
      <c r="A26" s="384"/>
      <c r="B26" s="382"/>
      <c r="C26" s="382"/>
      <c r="D26" s="85" t="s">
        <v>177</v>
      </c>
      <c r="E26" s="86">
        <f>경영지원팀!D59</f>
        <v>1</v>
      </c>
      <c r="F26" s="77"/>
      <c r="G26" s="77"/>
      <c r="H26" s="382"/>
      <c r="I26" s="382"/>
      <c r="J26" s="85" t="s">
        <v>177</v>
      </c>
      <c r="K26" s="86">
        <f t="shared" si="0"/>
        <v>2</v>
      </c>
    </row>
    <row r="27" spans="1:12">
      <c r="A27" s="384"/>
      <c r="B27" s="93" t="s">
        <v>189</v>
      </c>
      <c r="C27" s="94">
        <f>SUM(C5:C26)</f>
        <v>21</v>
      </c>
      <c r="D27" s="93" t="s">
        <v>189</v>
      </c>
      <c r="E27" s="94">
        <f>SUM(E5:E26)</f>
        <v>21</v>
      </c>
      <c r="F27" s="77"/>
      <c r="G27" s="77"/>
      <c r="H27" s="93" t="s">
        <v>189</v>
      </c>
      <c r="I27" s="94">
        <f>SUM(I5:I26)</f>
        <v>118</v>
      </c>
      <c r="J27" s="93" t="s">
        <v>189</v>
      </c>
      <c r="K27" s="94">
        <f>SUM(K5:K26)</f>
        <v>118</v>
      </c>
    </row>
    <row r="28" spans="1:12">
      <c r="A28" s="385" t="s">
        <v>191</v>
      </c>
      <c r="B28" s="382" t="s">
        <v>153</v>
      </c>
      <c r="C28" s="382">
        <f>소통혁신팀!$B$35</f>
        <v>7</v>
      </c>
      <c r="D28" s="85" t="s">
        <v>157</v>
      </c>
      <c r="E28" s="86">
        <f>소통혁신팀!$D35</f>
        <v>1</v>
      </c>
      <c r="F28" s="77"/>
      <c r="G28" s="77"/>
    </row>
    <row r="29" spans="1:12">
      <c r="A29" s="386"/>
      <c r="B29" s="382"/>
      <c r="C29" s="382"/>
      <c r="D29" s="85" t="s">
        <v>158</v>
      </c>
      <c r="E29" s="86">
        <f>소통혁신팀!$D36</f>
        <v>3</v>
      </c>
      <c r="F29" s="77"/>
      <c r="G29" s="77"/>
    </row>
    <row r="30" spans="1:12">
      <c r="A30" s="386"/>
      <c r="B30" s="382"/>
      <c r="C30" s="382"/>
      <c r="D30" s="85" t="s">
        <v>159</v>
      </c>
      <c r="E30" s="86">
        <f>소통혁신팀!$D37</f>
        <v>2</v>
      </c>
      <c r="F30" s="77"/>
      <c r="G30" s="77"/>
    </row>
    <row r="31" spans="1:12">
      <c r="A31" s="386"/>
      <c r="B31" s="382"/>
      <c r="C31" s="382"/>
      <c r="D31" s="85" t="s">
        <v>160</v>
      </c>
      <c r="E31" s="86">
        <f>소통혁신팀!$D38</f>
        <v>0</v>
      </c>
      <c r="F31" s="77"/>
      <c r="G31" s="77"/>
    </row>
    <row r="32" spans="1:12">
      <c r="A32" s="386"/>
      <c r="B32" s="382"/>
      <c r="C32" s="382"/>
      <c r="D32" s="85" t="s">
        <v>161</v>
      </c>
      <c r="E32" s="86">
        <f>소통혁신팀!$D39</f>
        <v>0</v>
      </c>
      <c r="F32" s="77"/>
      <c r="G32" s="77"/>
    </row>
    <row r="33" spans="1:7">
      <c r="A33" s="386"/>
      <c r="B33" s="382"/>
      <c r="C33" s="382"/>
      <c r="D33" s="85" t="s">
        <v>162</v>
      </c>
      <c r="E33" s="86">
        <f>소통혁신팀!$D40</f>
        <v>1</v>
      </c>
      <c r="F33" s="77"/>
      <c r="G33" s="77"/>
    </row>
    <row r="34" spans="1:7">
      <c r="A34" s="386"/>
      <c r="B34" s="382" t="s">
        <v>154</v>
      </c>
      <c r="C34" s="382">
        <f>소통혁신팀!$B$41</f>
        <v>5</v>
      </c>
      <c r="D34" s="85" t="s">
        <v>163</v>
      </c>
      <c r="E34" s="86">
        <f>소통혁신팀!$D41</f>
        <v>2</v>
      </c>
      <c r="F34" s="77"/>
      <c r="G34" s="77"/>
    </row>
    <row r="35" spans="1:7">
      <c r="A35" s="386"/>
      <c r="B35" s="382"/>
      <c r="C35" s="382"/>
      <c r="D35" s="85" t="s">
        <v>164</v>
      </c>
      <c r="E35" s="86">
        <f>소통혁신팀!$D42</f>
        <v>0</v>
      </c>
      <c r="F35" s="77"/>
      <c r="G35" s="77"/>
    </row>
    <row r="36" spans="1:7">
      <c r="A36" s="386"/>
      <c r="B36" s="382"/>
      <c r="C36" s="382"/>
      <c r="D36" s="85" t="s">
        <v>165</v>
      </c>
      <c r="E36" s="86">
        <f>소통혁신팀!$D43</f>
        <v>3</v>
      </c>
      <c r="F36" s="77"/>
      <c r="G36" s="77"/>
    </row>
    <row r="37" spans="1:7">
      <c r="A37" s="386"/>
      <c r="B37" s="382"/>
      <c r="C37" s="382"/>
      <c r="D37" s="85" t="s">
        <v>166</v>
      </c>
      <c r="E37" s="86">
        <f>소통혁신팀!$D44</f>
        <v>0</v>
      </c>
      <c r="F37" s="77"/>
      <c r="G37" s="77"/>
    </row>
    <row r="38" spans="1:7">
      <c r="A38" s="386"/>
      <c r="B38" s="382"/>
      <c r="C38" s="382"/>
      <c r="D38" s="85" t="s">
        <v>167</v>
      </c>
      <c r="E38" s="86">
        <f>소통혁신팀!$D45</f>
        <v>0</v>
      </c>
      <c r="F38" s="77"/>
      <c r="G38" s="77"/>
    </row>
    <row r="39" spans="1:7">
      <c r="A39" s="386"/>
      <c r="B39" s="382" t="s">
        <v>156</v>
      </c>
      <c r="C39" s="382">
        <f>소통혁신팀!$B$46</f>
        <v>1</v>
      </c>
      <c r="D39" s="85" t="s">
        <v>168</v>
      </c>
      <c r="E39" s="86">
        <f>소통혁신팀!$D46</f>
        <v>1</v>
      </c>
      <c r="F39" s="77"/>
      <c r="G39" s="77"/>
    </row>
    <row r="40" spans="1:7">
      <c r="A40" s="386"/>
      <c r="B40" s="382"/>
      <c r="C40" s="382"/>
      <c r="D40" s="85" t="s">
        <v>169</v>
      </c>
      <c r="E40" s="86">
        <f>소통혁신팀!$D47</f>
        <v>0</v>
      </c>
      <c r="F40" s="77"/>
      <c r="G40" s="77"/>
    </row>
    <row r="41" spans="1:7">
      <c r="A41" s="386"/>
      <c r="B41" s="382"/>
      <c r="C41" s="382"/>
      <c r="D41" s="85" t="s">
        <v>170</v>
      </c>
      <c r="E41" s="86">
        <f>소통혁신팀!$D48</f>
        <v>0</v>
      </c>
      <c r="F41" s="77"/>
      <c r="G41" s="77"/>
    </row>
    <row r="42" spans="1:7">
      <c r="A42" s="386"/>
      <c r="B42" s="382"/>
      <c r="C42" s="382"/>
      <c r="D42" s="85" t="s">
        <v>178</v>
      </c>
      <c r="E42" s="86">
        <f>소통혁신팀!$D49</f>
        <v>0</v>
      </c>
      <c r="F42" s="77"/>
      <c r="G42" s="77"/>
    </row>
    <row r="43" spans="1:7">
      <c r="A43" s="386"/>
      <c r="B43" s="382"/>
      <c r="C43" s="382"/>
      <c r="D43" s="85" t="s">
        <v>171</v>
      </c>
      <c r="E43" s="86">
        <f>소통혁신팀!$D50</f>
        <v>0</v>
      </c>
      <c r="F43" s="77"/>
      <c r="G43" s="77"/>
    </row>
    <row r="44" spans="1:7">
      <c r="A44" s="386"/>
      <c r="B44" s="382" t="s">
        <v>155</v>
      </c>
      <c r="C44" s="382">
        <f>소통혁신팀!$B$51</f>
        <v>1</v>
      </c>
      <c r="D44" s="85" t="s">
        <v>172</v>
      </c>
      <c r="E44" s="86">
        <f>소통혁신팀!$D51</f>
        <v>0</v>
      </c>
      <c r="F44" s="77"/>
      <c r="G44" s="77"/>
    </row>
    <row r="45" spans="1:7">
      <c r="A45" s="386"/>
      <c r="B45" s="382"/>
      <c r="C45" s="382"/>
      <c r="D45" s="85" t="s">
        <v>173</v>
      </c>
      <c r="E45" s="86">
        <f>소통혁신팀!$D52</f>
        <v>0</v>
      </c>
      <c r="F45" s="77"/>
      <c r="G45" s="77"/>
    </row>
    <row r="46" spans="1:7">
      <c r="A46" s="386"/>
      <c r="B46" s="382"/>
      <c r="C46" s="382"/>
      <c r="D46" s="85" t="s">
        <v>174</v>
      </c>
      <c r="E46" s="86">
        <f>소통혁신팀!$D53</f>
        <v>0</v>
      </c>
      <c r="F46" s="77"/>
      <c r="G46" s="77"/>
    </row>
    <row r="47" spans="1:7">
      <c r="A47" s="386"/>
      <c r="B47" s="382"/>
      <c r="C47" s="382"/>
      <c r="D47" s="85" t="s">
        <v>175</v>
      </c>
      <c r="E47" s="86">
        <f>소통혁신팀!$D54</f>
        <v>1</v>
      </c>
      <c r="F47" s="77"/>
      <c r="G47" s="77"/>
    </row>
    <row r="48" spans="1:7">
      <c r="A48" s="386"/>
      <c r="B48" s="382"/>
      <c r="C48" s="382"/>
      <c r="D48" s="85" t="s">
        <v>176</v>
      </c>
      <c r="E48" s="86">
        <f>소통혁신팀!$D55</f>
        <v>0</v>
      </c>
      <c r="F48" s="77"/>
      <c r="G48" s="77"/>
    </row>
    <row r="49" spans="1:7">
      <c r="A49" s="386"/>
      <c r="B49" s="382"/>
      <c r="C49" s="382"/>
      <c r="D49" s="85" t="s">
        <v>177</v>
      </c>
      <c r="E49" s="86">
        <f>소통혁신팀!$D56</f>
        <v>0</v>
      </c>
      <c r="F49" s="77"/>
      <c r="G49" s="77"/>
    </row>
    <row r="50" spans="1:7">
      <c r="A50" s="386"/>
      <c r="B50" s="93" t="s">
        <v>189</v>
      </c>
      <c r="C50" s="94">
        <f>SUM(C28:C49)</f>
        <v>14</v>
      </c>
      <c r="D50" s="93" t="s">
        <v>189</v>
      </c>
      <c r="E50" s="94">
        <f>SUM(E28:E49)</f>
        <v>14</v>
      </c>
      <c r="F50" s="77"/>
      <c r="G50" s="77"/>
    </row>
    <row r="51" spans="1:7">
      <c r="A51" s="387" t="s">
        <v>192</v>
      </c>
      <c r="B51" s="382" t="s">
        <v>153</v>
      </c>
      <c r="C51" s="382">
        <f>안전감사실!$B$36</f>
        <v>4</v>
      </c>
      <c r="D51" s="85" t="s">
        <v>157</v>
      </c>
      <c r="E51" s="86">
        <f>안전감사실!D36</f>
        <v>2</v>
      </c>
      <c r="F51" s="77"/>
      <c r="G51" s="77"/>
    </row>
    <row r="52" spans="1:7">
      <c r="A52" s="388"/>
      <c r="B52" s="382"/>
      <c r="C52" s="382"/>
      <c r="D52" s="85" t="s">
        <v>158</v>
      </c>
      <c r="E52" s="86">
        <f>안전감사실!D37</f>
        <v>1</v>
      </c>
      <c r="F52" s="77"/>
      <c r="G52" s="77"/>
    </row>
    <row r="53" spans="1:7">
      <c r="A53" s="388"/>
      <c r="B53" s="382"/>
      <c r="C53" s="382"/>
      <c r="D53" s="85" t="s">
        <v>159</v>
      </c>
      <c r="E53" s="86">
        <f>안전감사실!D38</f>
        <v>0</v>
      </c>
      <c r="F53" s="77"/>
      <c r="G53" s="77"/>
    </row>
    <row r="54" spans="1:7">
      <c r="A54" s="388"/>
      <c r="B54" s="382"/>
      <c r="C54" s="382"/>
      <c r="D54" s="85" t="s">
        <v>160</v>
      </c>
      <c r="E54" s="86">
        <f>안전감사실!D39</f>
        <v>1</v>
      </c>
      <c r="F54" s="77"/>
      <c r="G54" s="77"/>
    </row>
    <row r="55" spans="1:7">
      <c r="A55" s="388"/>
      <c r="B55" s="382"/>
      <c r="C55" s="382"/>
      <c r="D55" s="85" t="s">
        <v>161</v>
      </c>
      <c r="E55" s="86">
        <f>안전감사실!D40</f>
        <v>0</v>
      </c>
      <c r="F55" s="77"/>
      <c r="G55" s="77"/>
    </row>
    <row r="56" spans="1:7">
      <c r="A56" s="388"/>
      <c r="B56" s="382"/>
      <c r="C56" s="382"/>
      <c r="D56" s="85" t="s">
        <v>162</v>
      </c>
      <c r="E56" s="86">
        <f>안전감사실!D41</f>
        <v>0</v>
      </c>
      <c r="F56" s="77"/>
      <c r="G56" s="77"/>
    </row>
    <row r="57" spans="1:7">
      <c r="A57" s="388"/>
      <c r="B57" s="382" t="s">
        <v>154</v>
      </c>
      <c r="C57" s="382">
        <f>안전감사실!$B$42</f>
        <v>0</v>
      </c>
      <c r="D57" s="85" t="s">
        <v>163</v>
      </c>
      <c r="E57" s="86">
        <f>안전감사실!D42</f>
        <v>0</v>
      </c>
      <c r="F57" s="77"/>
      <c r="G57" s="77"/>
    </row>
    <row r="58" spans="1:7">
      <c r="A58" s="388"/>
      <c r="B58" s="382"/>
      <c r="C58" s="382"/>
      <c r="D58" s="85" t="s">
        <v>164</v>
      </c>
      <c r="E58" s="86">
        <f>안전감사실!D43</f>
        <v>0</v>
      </c>
      <c r="F58" s="77"/>
      <c r="G58" s="77"/>
    </row>
    <row r="59" spans="1:7">
      <c r="A59" s="388"/>
      <c r="B59" s="382"/>
      <c r="C59" s="382"/>
      <c r="D59" s="85" t="s">
        <v>165</v>
      </c>
      <c r="E59" s="86">
        <f>안전감사실!D44</f>
        <v>0</v>
      </c>
      <c r="F59" s="77"/>
      <c r="G59" s="77"/>
    </row>
    <row r="60" spans="1:7">
      <c r="A60" s="388"/>
      <c r="B60" s="382"/>
      <c r="C60" s="382"/>
      <c r="D60" s="85" t="s">
        <v>166</v>
      </c>
      <c r="E60" s="86">
        <f>안전감사실!D45</f>
        <v>0</v>
      </c>
      <c r="F60" s="77"/>
      <c r="G60" s="77"/>
    </row>
    <row r="61" spans="1:7">
      <c r="A61" s="388"/>
      <c r="B61" s="382"/>
      <c r="C61" s="382"/>
      <c r="D61" s="85" t="s">
        <v>167</v>
      </c>
      <c r="E61" s="86">
        <f>안전감사실!D46</f>
        <v>0</v>
      </c>
      <c r="F61" s="77"/>
      <c r="G61" s="77"/>
    </row>
    <row r="62" spans="1:7">
      <c r="A62" s="388"/>
      <c r="B62" s="382" t="s">
        <v>156</v>
      </c>
      <c r="C62" s="382">
        <f>안전감사실!$B$47</f>
        <v>3</v>
      </c>
      <c r="D62" s="85" t="s">
        <v>168</v>
      </c>
      <c r="E62" s="86">
        <f>안전감사실!D47</f>
        <v>0</v>
      </c>
      <c r="F62" s="77"/>
      <c r="G62" s="77"/>
    </row>
    <row r="63" spans="1:7">
      <c r="A63" s="388"/>
      <c r="B63" s="382"/>
      <c r="C63" s="382"/>
      <c r="D63" s="85" t="s">
        <v>169</v>
      </c>
      <c r="E63" s="86">
        <f>안전감사실!D48</f>
        <v>0</v>
      </c>
      <c r="F63" s="77"/>
      <c r="G63" s="77"/>
    </row>
    <row r="64" spans="1:7">
      <c r="A64" s="388"/>
      <c r="B64" s="382"/>
      <c r="C64" s="382"/>
      <c r="D64" s="85" t="s">
        <v>170</v>
      </c>
      <c r="E64" s="86">
        <f>안전감사실!D49</f>
        <v>0</v>
      </c>
      <c r="F64" s="77"/>
      <c r="G64" s="77"/>
    </row>
    <row r="65" spans="1:7">
      <c r="A65" s="388"/>
      <c r="B65" s="382"/>
      <c r="C65" s="382"/>
      <c r="D65" s="85" t="s">
        <v>178</v>
      </c>
      <c r="E65" s="86">
        <f>안전감사실!D50</f>
        <v>0</v>
      </c>
      <c r="F65" s="77"/>
      <c r="G65" s="77"/>
    </row>
    <row r="66" spans="1:7">
      <c r="A66" s="388"/>
      <c r="B66" s="382"/>
      <c r="C66" s="382"/>
      <c r="D66" s="85" t="s">
        <v>171</v>
      </c>
      <c r="E66" s="86">
        <f>안전감사실!D51</f>
        <v>3</v>
      </c>
      <c r="F66" s="77"/>
      <c r="G66" s="77"/>
    </row>
    <row r="67" spans="1:7">
      <c r="A67" s="388"/>
      <c r="B67" s="382" t="s">
        <v>155</v>
      </c>
      <c r="C67" s="382">
        <f>안전감사실!$B$52</f>
        <v>0</v>
      </c>
      <c r="D67" s="85" t="s">
        <v>172</v>
      </c>
      <c r="E67" s="86">
        <f>안전감사실!D52</f>
        <v>0</v>
      </c>
      <c r="F67" s="77"/>
      <c r="G67" s="77"/>
    </row>
    <row r="68" spans="1:7">
      <c r="A68" s="388"/>
      <c r="B68" s="382"/>
      <c r="C68" s="382"/>
      <c r="D68" s="85" t="s">
        <v>173</v>
      </c>
      <c r="E68" s="86">
        <f>안전감사실!D53</f>
        <v>0</v>
      </c>
      <c r="F68" s="77"/>
      <c r="G68" s="77"/>
    </row>
    <row r="69" spans="1:7">
      <c r="A69" s="388"/>
      <c r="B69" s="382"/>
      <c r="C69" s="382"/>
      <c r="D69" s="85" t="s">
        <v>174</v>
      </c>
      <c r="E69" s="86">
        <f>안전감사실!D54</f>
        <v>0</v>
      </c>
      <c r="F69" s="77"/>
      <c r="G69" s="77"/>
    </row>
    <row r="70" spans="1:7">
      <c r="A70" s="388"/>
      <c r="B70" s="382"/>
      <c r="C70" s="382"/>
      <c r="D70" s="85" t="s">
        <v>175</v>
      </c>
      <c r="E70" s="86">
        <f>안전감사실!D55</f>
        <v>0</v>
      </c>
      <c r="F70" s="77"/>
      <c r="G70" s="77"/>
    </row>
    <row r="71" spans="1:7">
      <c r="A71" s="388"/>
      <c r="B71" s="382"/>
      <c r="C71" s="382"/>
      <c r="D71" s="85" t="s">
        <v>176</v>
      </c>
      <c r="E71" s="86">
        <f>안전감사실!D56</f>
        <v>0</v>
      </c>
      <c r="F71" s="77"/>
      <c r="G71" s="77"/>
    </row>
    <row r="72" spans="1:7">
      <c r="A72" s="388"/>
      <c r="B72" s="382"/>
      <c r="C72" s="382"/>
      <c r="D72" s="85" t="s">
        <v>177</v>
      </c>
      <c r="E72" s="86">
        <f>안전감사실!D57</f>
        <v>0</v>
      </c>
      <c r="F72" s="77"/>
      <c r="G72" s="77"/>
    </row>
    <row r="73" spans="1:7">
      <c r="A73" s="388"/>
      <c r="B73" s="93" t="s">
        <v>189</v>
      </c>
      <c r="C73" s="94">
        <f>SUM(C51:C72)</f>
        <v>7</v>
      </c>
      <c r="D73" s="93" t="s">
        <v>189</v>
      </c>
      <c r="E73" s="94">
        <f>SUM(E51:E72)</f>
        <v>7</v>
      </c>
      <c r="F73" s="77"/>
      <c r="G73" s="77"/>
    </row>
    <row r="74" spans="1:7">
      <c r="A74" s="389" t="s">
        <v>193</v>
      </c>
      <c r="B74" s="382" t="s">
        <v>153</v>
      </c>
      <c r="C74" s="382">
        <f>문화체육팀!$B$38</f>
        <v>4</v>
      </c>
      <c r="D74" s="85" t="s">
        <v>157</v>
      </c>
      <c r="E74" s="86">
        <f>문화체육팀!D38</f>
        <v>0</v>
      </c>
      <c r="F74" s="77"/>
      <c r="G74" s="77"/>
    </row>
    <row r="75" spans="1:7">
      <c r="A75" s="390"/>
      <c r="B75" s="382"/>
      <c r="C75" s="382"/>
      <c r="D75" s="85" t="s">
        <v>158</v>
      </c>
      <c r="E75" s="86">
        <f>문화체육팀!D39</f>
        <v>1</v>
      </c>
      <c r="F75" s="77"/>
      <c r="G75" s="77"/>
    </row>
    <row r="76" spans="1:7">
      <c r="A76" s="390"/>
      <c r="B76" s="382"/>
      <c r="C76" s="382"/>
      <c r="D76" s="85" t="s">
        <v>159</v>
      </c>
      <c r="E76" s="86">
        <f>문화체육팀!D40</f>
        <v>0</v>
      </c>
      <c r="F76" s="77"/>
      <c r="G76" s="77"/>
    </row>
    <row r="77" spans="1:7">
      <c r="A77" s="390"/>
      <c r="B77" s="382"/>
      <c r="C77" s="382"/>
      <c r="D77" s="85" t="s">
        <v>160</v>
      </c>
      <c r="E77" s="86">
        <f>문화체육팀!D41</f>
        <v>0</v>
      </c>
      <c r="F77" s="77"/>
      <c r="G77" s="77"/>
    </row>
    <row r="78" spans="1:7">
      <c r="A78" s="390"/>
      <c r="B78" s="382"/>
      <c r="C78" s="382"/>
      <c r="D78" s="85" t="s">
        <v>161</v>
      </c>
      <c r="E78" s="86">
        <f>문화체육팀!D42</f>
        <v>0</v>
      </c>
      <c r="F78" s="77"/>
      <c r="G78" s="77"/>
    </row>
    <row r="79" spans="1:7">
      <c r="A79" s="390"/>
      <c r="B79" s="382"/>
      <c r="C79" s="382"/>
      <c r="D79" s="85" t="s">
        <v>162</v>
      </c>
      <c r="E79" s="86">
        <f>문화체육팀!D43</f>
        <v>3</v>
      </c>
      <c r="F79" s="77"/>
      <c r="G79" s="77"/>
    </row>
    <row r="80" spans="1:7">
      <c r="A80" s="390"/>
      <c r="B80" s="382" t="s">
        <v>154</v>
      </c>
      <c r="C80" s="382">
        <f>문화체육팀!$B$44</f>
        <v>0</v>
      </c>
      <c r="D80" s="85" t="s">
        <v>163</v>
      </c>
      <c r="E80" s="86">
        <f>문화체육팀!D44</f>
        <v>0</v>
      </c>
      <c r="F80" s="77"/>
      <c r="G80" s="77"/>
    </row>
    <row r="81" spans="1:7">
      <c r="A81" s="390"/>
      <c r="B81" s="382"/>
      <c r="C81" s="382"/>
      <c r="D81" s="85" t="s">
        <v>164</v>
      </c>
      <c r="E81" s="86">
        <f>문화체육팀!D45</f>
        <v>0</v>
      </c>
      <c r="F81" s="77"/>
      <c r="G81" s="77"/>
    </row>
    <row r="82" spans="1:7">
      <c r="A82" s="390"/>
      <c r="B82" s="382"/>
      <c r="C82" s="382"/>
      <c r="D82" s="85" t="s">
        <v>165</v>
      </c>
      <c r="E82" s="86">
        <f>문화체육팀!D46</f>
        <v>0</v>
      </c>
      <c r="F82" s="77"/>
      <c r="G82" s="77"/>
    </row>
    <row r="83" spans="1:7">
      <c r="A83" s="390"/>
      <c r="B83" s="382"/>
      <c r="C83" s="382"/>
      <c r="D83" s="85" t="s">
        <v>166</v>
      </c>
      <c r="E83" s="86">
        <f>문화체육팀!D47</f>
        <v>0</v>
      </c>
      <c r="F83" s="77"/>
      <c r="G83" s="77"/>
    </row>
    <row r="84" spans="1:7">
      <c r="A84" s="390"/>
      <c r="B84" s="382"/>
      <c r="C84" s="382"/>
      <c r="D84" s="85" t="s">
        <v>167</v>
      </c>
      <c r="E84" s="86">
        <f>문화체육팀!D48</f>
        <v>0</v>
      </c>
      <c r="F84" s="77"/>
      <c r="G84" s="77"/>
    </row>
    <row r="85" spans="1:7">
      <c r="A85" s="390"/>
      <c r="B85" s="382" t="s">
        <v>156</v>
      </c>
      <c r="C85" s="382">
        <f>문화체육팀!$B$49</f>
        <v>3</v>
      </c>
      <c r="D85" s="85" t="s">
        <v>168</v>
      </c>
      <c r="E85" s="86">
        <f>문화체육팀!D49</f>
        <v>0</v>
      </c>
      <c r="F85" s="77"/>
      <c r="G85" s="77"/>
    </row>
    <row r="86" spans="1:7">
      <c r="A86" s="390"/>
      <c r="B86" s="382"/>
      <c r="C86" s="382"/>
      <c r="D86" s="85" t="s">
        <v>169</v>
      </c>
      <c r="E86" s="86">
        <f>문화체육팀!D50</f>
        <v>0</v>
      </c>
      <c r="F86" s="77"/>
      <c r="G86" s="77"/>
    </row>
    <row r="87" spans="1:7">
      <c r="A87" s="390"/>
      <c r="B87" s="382"/>
      <c r="C87" s="382"/>
      <c r="D87" s="85" t="s">
        <v>170</v>
      </c>
      <c r="E87" s="86">
        <f>문화체육팀!D51</f>
        <v>0</v>
      </c>
      <c r="F87" s="77"/>
      <c r="G87" s="77"/>
    </row>
    <row r="88" spans="1:7">
      <c r="A88" s="390"/>
      <c r="B88" s="382"/>
      <c r="C88" s="382"/>
      <c r="D88" s="85" t="s">
        <v>178</v>
      </c>
      <c r="E88" s="86">
        <f>문화체육팀!D52</f>
        <v>0</v>
      </c>
      <c r="F88" s="77"/>
      <c r="G88" s="77"/>
    </row>
    <row r="89" spans="1:7">
      <c r="A89" s="390"/>
      <c r="B89" s="382"/>
      <c r="C89" s="382"/>
      <c r="D89" s="85" t="s">
        <v>171</v>
      </c>
      <c r="E89" s="86">
        <f>문화체육팀!D53</f>
        <v>3</v>
      </c>
      <c r="F89" s="77"/>
      <c r="G89" s="77"/>
    </row>
    <row r="90" spans="1:7">
      <c r="A90" s="390"/>
      <c r="B90" s="382" t="s">
        <v>155</v>
      </c>
      <c r="C90" s="382">
        <f>문화체육팀!$B$54</f>
        <v>15</v>
      </c>
      <c r="D90" s="85" t="s">
        <v>172</v>
      </c>
      <c r="E90" s="86">
        <f>문화체육팀!D54</f>
        <v>0</v>
      </c>
      <c r="F90" s="77"/>
      <c r="G90" s="77"/>
    </row>
    <row r="91" spans="1:7">
      <c r="A91" s="390"/>
      <c r="B91" s="382"/>
      <c r="C91" s="382"/>
      <c r="D91" s="85" t="s">
        <v>173</v>
      </c>
      <c r="E91" s="86">
        <f>문화체육팀!D55</f>
        <v>2</v>
      </c>
      <c r="F91" s="77"/>
      <c r="G91" s="77"/>
    </row>
    <row r="92" spans="1:7">
      <c r="A92" s="390"/>
      <c r="B92" s="382"/>
      <c r="C92" s="382"/>
      <c r="D92" s="85" t="s">
        <v>174</v>
      </c>
      <c r="E92" s="86">
        <f>문화체육팀!D56</f>
        <v>0</v>
      </c>
      <c r="F92" s="77"/>
      <c r="G92" s="77"/>
    </row>
    <row r="93" spans="1:7">
      <c r="A93" s="390"/>
      <c r="B93" s="382"/>
      <c r="C93" s="382"/>
      <c r="D93" s="85" t="s">
        <v>175</v>
      </c>
      <c r="E93" s="86">
        <f>문화체육팀!D57</f>
        <v>13</v>
      </c>
      <c r="F93" s="77"/>
      <c r="G93" s="77"/>
    </row>
    <row r="94" spans="1:7">
      <c r="A94" s="390"/>
      <c r="B94" s="382"/>
      <c r="C94" s="382"/>
      <c r="D94" s="85" t="s">
        <v>176</v>
      </c>
      <c r="E94" s="86">
        <f>문화체육팀!D58</f>
        <v>0</v>
      </c>
      <c r="F94" s="77"/>
      <c r="G94" s="77"/>
    </row>
    <row r="95" spans="1:7">
      <c r="A95" s="390"/>
      <c r="B95" s="382"/>
      <c r="C95" s="382"/>
      <c r="D95" s="85" t="s">
        <v>177</v>
      </c>
      <c r="E95" s="86">
        <f>문화체육팀!D59</f>
        <v>0</v>
      </c>
      <c r="F95" s="77"/>
      <c r="G95" s="77"/>
    </row>
    <row r="96" spans="1:7">
      <c r="A96" s="390"/>
      <c r="B96" s="93" t="s">
        <v>189</v>
      </c>
      <c r="C96" s="94">
        <f>SUM(C74:C95)</f>
        <v>22</v>
      </c>
      <c r="D96" s="93" t="s">
        <v>189</v>
      </c>
      <c r="E96" s="94">
        <f>SUM(E74:E95)</f>
        <v>22</v>
      </c>
      <c r="F96" s="77"/>
      <c r="G96" s="77"/>
    </row>
    <row r="97" spans="1:7">
      <c r="A97" s="391" t="s">
        <v>194</v>
      </c>
      <c r="B97" s="382" t="s">
        <v>153</v>
      </c>
      <c r="C97" s="382">
        <f>교통사업팀!$B$38</f>
        <v>1</v>
      </c>
      <c r="D97" s="85" t="s">
        <v>157</v>
      </c>
      <c r="E97" s="86">
        <f>교통사업팀!D38</f>
        <v>0</v>
      </c>
      <c r="F97" s="77"/>
      <c r="G97" s="77"/>
    </row>
    <row r="98" spans="1:7">
      <c r="A98" s="392"/>
      <c r="B98" s="382"/>
      <c r="C98" s="382"/>
      <c r="D98" s="85" t="s">
        <v>158</v>
      </c>
      <c r="E98" s="86">
        <f>교통사업팀!D39</f>
        <v>0</v>
      </c>
    </row>
    <row r="99" spans="1:7">
      <c r="A99" s="392"/>
      <c r="B99" s="382"/>
      <c r="C99" s="382"/>
      <c r="D99" s="85" t="s">
        <v>159</v>
      </c>
      <c r="E99" s="86">
        <f>교통사업팀!D40</f>
        <v>0</v>
      </c>
    </row>
    <row r="100" spans="1:7">
      <c r="A100" s="392"/>
      <c r="B100" s="382"/>
      <c r="C100" s="382"/>
      <c r="D100" s="85" t="s">
        <v>160</v>
      </c>
      <c r="E100" s="86">
        <f>교통사업팀!D41</f>
        <v>0</v>
      </c>
    </row>
    <row r="101" spans="1:7">
      <c r="A101" s="392"/>
      <c r="B101" s="382"/>
      <c r="C101" s="382"/>
      <c r="D101" s="85" t="s">
        <v>161</v>
      </c>
      <c r="E101" s="86">
        <f>교통사업팀!D42</f>
        <v>0</v>
      </c>
    </row>
    <row r="102" spans="1:7">
      <c r="A102" s="392"/>
      <c r="B102" s="382"/>
      <c r="C102" s="382"/>
      <c r="D102" s="85" t="s">
        <v>162</v>
      </c>
      <c r="E102" s="86">
        <f>교통사업팀!D43</f>
        <v>1</v>
      </c>
    </row>
    <row r="103" spans="1:7">
      <c r="A103" s="392"/>
      <c r="B103" s="382" t="s">
        <v>154</v>
      </c>
      <c r="C103" s="382">
        <f>교통사업팀!$B$44</f>
        <v>0</v>
      </c>
      <c r="D103" s="85" t="s">
        <v>163</v>
      </c>
      <c r="E103" s="86">
        <f>교통사업팀!D44</f>
        <v>0</v>
      </c>
    </row>
    <row r="104" spans="1:7">
      <c r="A104" s="392"/>
      <c r="B104" s="382"/>
      <c r="C104" s="382"/>
      <c r="D104" s="85" t="s">
        <v>164</v>
      </c>
      <c r="E104" s="86">
        <f>교통사업팀!D45</f>
        <v>0</v>
      </c>
    </row>
    <row r="105" spans="1:7">
      <c r="A105" s="392"/>
      <c r="B105" s="382"/>
      <c r="C105" s="382"/>
      <c r="D105" s="85" t="s">
        <v>165</v>
      </c>
      <c r="E105" s="86">
        <f>교통사업팀!D46</f>
        <v>0</v>
      </c>
    </row>
    <row r="106" spans="1:7">
      <c r="A106" s="392"/>
      <c r="B106" s="382"/>
      <c r="C106" s="382"/>
      <c r="D106" s="85" t="s">
        <v>166</v>
      </c>
      <c r="E106" s="86">
        <f>교통사업팀!D47</f>
        <v>0</v>
      </c>
    </row>
    <row r="107" spans="1:7">
      <c r="A107" s="392"/>
      <c r="B107" s="382"/>
      <c r="C107" s="382"/>
      <c r="D107" s="85" t="s">
        <v>167</v>
      </c>
      <c r="E107" s="86">
        <f>교통사업팀!D48</f>
        <v>0</v>
      </c>
    </row>
    <row r="108" spans="1:7">
      <c r="A108" s="392"/>
      <c r="B108" s="382" t="s">
        <v>156</v>
      </c>
      <c r="C108" s="382">
        <f>교통사업팀!$B$49</f>
        <v>5</v>
      </c>
      <c r="D108" s="85" t="s">
        <v>168</v>
      </c>
      <c r="E108" s="86">
        <f>교통사업팀!D49</f>
        <v>4</v>
      </c>
    </row>
    <row r="109" spans="1:7">
      <c r="A109" s="392"/>
      <c r="B109" s="382"/>
      <c r="C109" s="382"/>
      <c r="D109" s="85" t="s">
        <v>169</v>
      </c>
      <c r="E109" s="86">
        <f>교통사업팀!D50</f>
        <v>1</v>
      </c>
    </row>
    <row r="110" spans="1:7">
      <c r="A110" s="392"/>
      <c r="B110" s="382"/>
      <c r="C110" s="382"/>
      <c r="D110" s="85" t="s">
        <v>170</v>
      </c>
      <c r="E110" s="86">
        <f>교통사업팀!D51</f>
        <v>0</v>
      </c>
    </row>
    <row r="111" spans="1:7">
      <c r="A111" s="392"/>
      <c r="B111" s="382"/>
      <c r="C111" s="382"/>
      <c r="D111" s="85" t="s">
        <v>178</v>
      </c>
      <c r="E111" s="86">
        <f>교통사업팀!D52</f>
        <v>0</v>
      </c>
    </row>
    <row r="112" spans="1:7">
      <c r="A112" s="392"/>
      <c r="B112" s="382"/>
      <c r="C112" s="382"/>
      <c r="D112" s="85" t="s">
        <v>171</v>
      </c>
      <c r="E112" s="86">
        <f>교통사업팀!D53</f>
        <v>0</v>
      </c>
    </row>
    <row r="113" spans="1:5">
      <c r="A113" s="392"/>
      <c r="B113" s="382" t="s">
        <v>155</v>
      </c>
      <c r="C113" s="382">
        <f>교통사업팀!$B$54</f>
        <v>7</v>
      </c>
      <c r="D113" s="85" t="s">
        <v>172</v>
      </c>
      <c r="E113" s="86">
        <f>교통사업팀!D54</f>
        <v>0</v>
      </c>
    </row>
    <row r="114" spans="1:5">
      <c r="A114" s="392"/>
      <c r="B114" s="382"/>
      <c r="C114" s="382"/>
      <c r="D114" s="85" t="s">
        <v>173</v>
      </c>
      <c r="E114" s="86">
        <f>교통사업팀!D55</f>
        <v>0</v>
      </c>
    </row>
    <row r="115" spans="1:5">
      <c r="A115" s="392"/>
      <c r="B115" s="382"/>
      <c r="C115" s="382"/>
      <c r="D115" s="85" t="s">
        <v>174</v>
      </c>
      <c r="E115" s="86">
        <f>교통사업팀!D56</f>
        <v>4</v>
      </c>
    </row>
    <row r="116" spans="1:5">
      <c r="A116" s="392"/>
      <c r="B116" s="382"/>
      <c r="C116" s="382"/>
      <c r="D116" s="85" t="s">
        <v>175</v>
      </c>
      <c r="E116" s="86">
        <f>교통사업팀!D57</f>
        <v>1</v>
      </c>
    </row>
    <row r="117" spans="1:5">
      <c r="A117" s="392"/>
      <c r="B117" s="382"/>
      <c r="C117" s="382"/>
      <c r="D117" s="85" t="s">
        <v>176</v>
      </c>
      <c r="E117" s="86">
        <f>교통사업팀!D58</f>
        <v>1</v>
      </c>
    </row>
    <row r="118" spans="1:5">
      <c r="A118" s="392"/>
      <c r="B118" s="382"/>
      <c r="C118" s="382"/>
      <c r="D118" s="85" t="s">
        <v>177</v>
      </c>
      <c r="E118" s="86">
        <f>교통사업팀!D59</f>
        <v>1</v>
      </c>
    </row>
    <row r="119" spans="1:5">
      <c r="A119" s="392"/>
      <c r="B119" s="93" t="s">
        <v>189</v>
      </c>
      <c r="C119" s="94">
        <f>SUM(C97:C118)</f>
        <v>13</v>
      </c>
      <c r="D119" s="93" t="s">
        <v>189</v>
      </c>
      <c r="E119" s="94">
        <f>SUM(E97:E118)</f>
        <v>13</v>
      </c>
    </row>
    <row r="120" spans="1:5">
      <c r="A120" s="393" t="s">
        <v>195</v>
      </c>
      <c r="B120" s="382" t="s">
        <v>153</v>
      </c>
      <c r="C120" s="382">
        <f>환경지원팀!$B$38</f>
        <v>7</v>
      </c>
      <c r="D120" s="85" t="s">
        <v>157</v>
      </c>
      <c r="E120" s="86">
        <f>환경지원팀!D38</f>
        <v>0</v>
      </c>
    </row>
    <row r="121" spans="1:5">
      <c r="A121" s="393"/>
      <c r="B121" s="382"/>
      <c r="C121" s="382"/>
      <c r="D121" s="85" t="s">
        <v>158</v>
      </c>
      <c r="E121" s="86">
        <f>환경지원팀!D39</f>
        <v>4</v>
      </c>
    </row>
    <row r="122" spans="1:5">
      <c r="A122" s="393"/>
      <c r="B122" s="382"/>
      <c r="C122" s="382"/>
      <c r="D122" s="85" t="s">
        <v>159</v>
      </c>
      <c r="E122" s="86">
        <f>환경지원팀!D40</f>
        <v>0</v>
      </c>
    </row>
    <row r="123" spans="1:5">
      <c r="A123" s="393"/>
      <c r="B123" s="382"/>
      <c r="C123" s="382"/>
      <c r="D123" s="85" t="s">
        <v>160</v>
      </c>
      <c r="E123" s="86">
        <f>환경지원팀!D41</f>
        <v>1</v>
      </c>
    </row>
    <row r="124" spans="1:5">
      <c r="A124" s="393"/>
      <c r="B124" s="382"/>
      <c r="C124" s="382"/>
      <c r="D124" s="85" t="s">
        <v>161</v>
      </c>
      <c r="E124" s="86">
        <f>환경지원팀!D42</f>
        <v>2</v>
      </c>
    </row>
    <row r="125" spans="1:5">
      <c r="A125" s="393"/>
      <c r="B125" s="382"/>
      <c r="C125" s="382"/>
      <c r="D125" s="85" t="s">
        <v>162</v>
      </c>
      <c r="E125" s="86">
        <f>환경지원팀!D43</f>
        <v>0</v>
      </c>
    </row>
    <row r="126" spans="1:5">
      <c r="A126" s="393"/>
      <c r="B126" s="382" t="s">
        <v>154</v>
      </c>
      <c r="C126" s="382">
        <f>환경지원팀!$B$44</f>
        <v>0</v>
      </c>
      <c r="D126" s="85" t="s">
        <v>163</v>
      </c>
      <c r="E126" s="86">
        <f>환경지원팀!D44</f>
        <v>0</v>
      </c>
    </row>
    <row r="127" spans="1:5">
      <c r="A127" s="393"/>
      <c r="B127" s="382"/>
      <c r="C127" s="382"/>
      <c r="D127" s="85" t="s">
        <v>164</v>
      </c>
      <c r="E127" s="86">
        <f>환경지원팀!D45</f>
        <v>0</v>
      </c>
    </row>
    <row r="128" spans="1:5">
      <c r="A128" s="393"/>
      <c r="B128" s="382"/>
      <c r="C128" s="382"/>
      <c r="D128" s="85" t="s">
        <v>165</v>
      </c>
      <c r="E128" s="86">
        <f>환경지원팀!D46</f>
        <v>0</v>
      </c>
    </row>
    <row r="129" spans="1:5">
      <c r="A129" s="393"/>
      <c r="B129" s="382"/>
      <c r="C129" s="382"/>
      <c r="D129" s="85" t="s">
        <v>166</v>
      </c>
      <c r="E129" s="86">
        <f>환경지원팀!D47</f>
        <v>0</v>
      </c>
    </row>
    <row r="130" spans="1:5">
      <c r="A130" s="393"/>
      <c r="B130" s="382"/>
      <c r="C130" s="382"/>
      <c r="D130" s="85" t="s">
        <v>167</v>
      </c>
      <c r="E130" s="86">
        <f>환경지원팀!D48</f>
        <v>0</v>
      </c>
    </row>
    <row r="131" spans="1:5">
      <c r="A131" s="393"/>
      <c r="B131" s="382" t="s">
        <v>156</v>
      </c>
      <c r="C131" s="382">
        <f>환경지원팀!$B$49</f>
        <v>0</v>
      </c>
      <c r="D131" s="85" t="s">
        <v>168</v>
      </c>
      <c r="E131" s="86">
        <f>환경지원팀!D49</f>
        <v>0</v>
      </c>
    </row>
    <row r="132" spans="1:5">
      <c r="A132" s="393"/>
      <c r="B132" s="382"/>
      <c r="C132" s="382"/>
      <c r="D132" s="85" t="s">
        <v>169</v>
      </c>
      <c r="E132" s="86">
        <f>환경지원팀!D50</f>
        <v>0</v>
      </c>
    </row>
    <row r="133" spans="1:5">
      <c r="A133" s="393"/>
      <c r="B133" s="382"/>
      <c r="C133" s="382"/>
      <c r="D133" s="85" t="s">
        <v>170</v>
      </c>
      <c r="E133" s="86">
        <f>환경지원팀!D51</f>
        <v>0</v>
      </c>
    </row>
    <row r="134" spans="1:5">
      <c r="A134" s="393"/>
      <c r="B134" s="382"/>
      <c r="C134" s="382"/>
      <c r="D134" s="85" t="s">
        <v>178</v>
      </c>
      <c r="E134" s="86">
        <f>환경지원팀!D52</f>
        <v>0</v>
      </c>
    </row>
    <row r="135" spans="1:5">
      <c r="A135" s="393"/>
      <c r="B135" s="382"/>
      <c r="C135" s="382"/>
      <c r="D135" s="85" t="s">
        <v>171</v>
      </c>
      <c r="E135" s="86">
        <f>환경지원팀!D53</f>
        <v>0</v>
      </c>
    </row>
    <row r="136" spans="1:5">
      <c r="A136" s="393"/>
      <c r="B136" s="382" t="s">
        <v>155</v>
      </c>
      <c r="C136" s="382">
        <f>환경지원팀!$B$54</f>
        <v>0</v>
      </c>
      <c r="D136" s="85" t="s">
        <v>172</v>
      </c>
      <c r="E136" s="86">
        <f>환경지원팀!D54</f>
        <v>0</v>
      </c>
    </row>
    <row r="137" spans="1:5">
      <c r="A137" s="393"/>
      <c r="B137" s="382"/>
      <c r="C137" s="382"/>
      <c r="D137" s="85" t="s">
        <v>173</v>
      </c>
      <c r="E137" s="86">
        <f>환경지원팀!D55</f>
        <v>0</v>
      </c>
    </row>
    <row r="138" spans="1:5">
      <c r="A138" s="393"/>
      <c r="B138" s="382"/>
      <c r="C138" s="382"/>
      <c r="D138" s="85" t="s">
        <v>174</v>
      </c>
      <c r="E138" s="86">
        <f>환경지원팀!D56</f>
        <v>0</v>
      </c>
    </row>
    <row r="139" spans="1:5">
      <c r="A139" s="393"/>
      <c r="B139" s="382"/>
      <c r="C139" s="382"/>
      <c r="D139" s="85" t="s">
        <v>175</v>
      </c>
      <c r="E139" s="86">
        <f>환경지원팀!D57</f>
        <v>0</v>
      </c>
    </row>
    <row r="140" spans="1:5">
      <c r="A140" s="393"/>
      <c r="B140" s="382"/>
      <c r="C140" s="382"/>
      <c r="D140" s="85" t="s">
        <v>176</v>
      </c>
      <c r="E140" s="86">
        <f>환경지원팀!D58</f>
        <v>0</v>
      </c>
    </row>
    <row r="141" spans="1:5">
      <c r="A141" s="393"/>
      <c r="B141" s="382"/>
      <c r="C141" s="382"/>
      <c r="D141" s="85" t="s">
        <v>177</v>
      </c>
      <c r="E141" s="86">
        <f>환경지원팀!D59</f>
        <v>0</v>
      </c>
    </row>
    <row r="142" spans="1:5">
      <c r="A142" s="393"/>
      <c r="B142" s="93" t="s">
        <v>189</v>
      </c>
      <c r="C142" s="94">
        <f>SUM(C120:C141)</f>
        <v>7</v>
      </c>
      <c r="D142" s="93" t="s">
        <v>189</v>
      </c>
      <c r="E142" s="94">
        <f>SUM(E120:E141)</f>
        <v>7</v>
      </c>
    </row>
    <row r="143" spans="1:5">
      <c r="A143" s="399" t="s">
        <v>196</v>
      </c>
      <c r="B143" s="382" t="s">
        <v>153</v>
      </c>
      <c r="C143" s="382">
        <f>환경사업팀!$B$37</f>
        <v>3</v>
      </c>
      <c r="D143" s="85" t="s">
        <v>157</v>
      </c>
      <c r="E143" s="86">
        <f>환경사업팀!D37</f>
        <v>1</v>
      </c>
    </row>
    <row r="144" spans="1:5">
      <c r="A144" s="400"/>
      <c r="B144" s="382"/>
      <c r="C144" s="382"/>
      <c r="D144" s="85" t="s">
        <v>158</v>
      </c>
      <c r="E144" s="86">
        <f>환경사업팀!D38</f>
        <v>1</v>
      </c>
    </row>
    <row r="145" spans="1:5">
      <c r="A145" s="400"/>
      <c r="B145" s="382"/>
      <c r="C145" s="382"/>
      <c r="D145" s="85" t="s">
        <v>159</v>
      </c>
      <c r="E145" s="86">
        <f>환경사업팀!D39</f>
        <v>0</v>
      </c>
    </row>
    <row r="146" spans="1:5">
      <c r="A146" s="400"/>
      <c r="B146" s="382"/>
      <c r="C146" s="382"/>
      <c r="D146" s="85" t="s">
        <v>160</v>
      </c>
      <c r="E146" s="86">
        <f>환경사업팀!D40</f>
        <v>0</v>
      </c>
    </row>
    <row r="147" spans="1:5">
      <c r="A147" s="400"/>
      <c r="B147" s="382"/>
      <c r="C147" s="382"/>
      <c r="D147" s="85" t="s">
        <v>161</v>
      </c>
      <c r="E147" s="86">
        <f>환경사업팀!D41</f>
        <v>0</v>
      </c>
    </row>
    <row r="148" spans="1:5">
      <c r="A148" s="400"/>
      <c r="B148" s="382"/>
      <c r="C148" s="382"/>
      <c r="D148" s="85" t="s">
        <v>162</v>
      </c>
      <c r="E148" s="86">
        <f>환경사업팀!D42</f>
        <v>1</v>
      </c>
    </row>
    <row r="149" spans="1:5">
      <c r="A149" s="400"/>
      <c r="B149" s="382" t="s">
        <v>154</v>
      </c>
      <c r="C149" s="382">
        <f>환경사업팀!$B$43</f>
        <v>7</v>
      </c>
      <c r="D149" s="85" t="s">
        <v>163</v>
      </c>
      <c r="E149" s="86">
        <f>환경사업팀!D43</f>
        <v>1</v>
      </c>
    </row>
    <row r="150" spans="1:5">
      <c r="A150" s="400"/>
      <c r="B150" s="382"/>
      <c r="C150" s="382"/>
      <c r="D150" s="85" t="s">
        <v>164</v>
      </c>
      <c r="E150" s="86">
        <f>환경사업팀!D44</f>
        <v>0</v>
      </c>
    </row>
    <row r="151" spans="1:5">
      <c r="A151" s="400"/>
      <c r="B151" s="382"/>
      <c r="C151" s="382"/>
      <c r="D151" s="85" t="s">
        <v>165</v>
      </c>
      <c r="E151" s="86">
        <f>환경사업팀!D45</f>
        <v>4</v>
      </c>
    </row>
    <row r="152" spans="1:5">
      <c r="A152" s="400"/>
      <c r="B152" s="382"/>
      <c r="C152" s="382"/>
      <c r="D152" s="85" t="s">
        <v>166</v>
      </c>
      <c r="E152" s="86">
        <f>환경사업팀!D46</f>
        <v>2</v>
      </c>
    </row>
    <row r="153" spans="1:5">
      <c r="A153" s="400"/>
      <c r="B153" s="382"/>
      <c r="C153" s="382"/>
      <c r="D153" s="85" t="s">
        <v>167</v>
      </c>
      <c r="E153" s="86">
        <f>환경사업팀!D47</f>
        <v>0</v>
      </c>
    </row>
    <row r="154" spans="1:5">
      <c r="A154" s="400"/>
      <c r="B154" s="382" t="s">
        <v>156</v>
      </c>
      <c r="C154" s="382">
        <f>환경사업팀!$B$48</f>
        <v>3</v>
      </c>
      <c r="D154" s="85" t="s">
        <v>168</v>
      </c>
      <c r="E154" s="86">
        <f>환경사업팀!D48</f>
        <v>0</v>
      </c>
    </row>
    <row r="155" spans="1:5">
      <c r="A155" s="400"/>
      <c r="B155" s="382"/>
      <c r="C155" s="382"/>
      <c r="D155" s="85" t="s">
        <v>169</v>
      </c>
      <c r="E155" s="86">
        <f>환경사업팀!D49</f>
        <v>0</v>
      </c>
    </row>
    <row r="156" spans="1:5">
      <c r="A156" s="400"/>
      <c r="B156" s="382"/>
      <c r="C156" s="382"/>
      <c r="D156" s="85" t="s">
        <v>170</v>
      </c>
      <c r="E156" s="86">
        <f>환경사업팀!D50</f>
        <v>3</v>
      </c>
    </row>
    <row r="157" spans="1:5">
      <c r="A157" s="400"/>
      <c r="B157" s="382"/>
      <c r="C157" s="382"/>
      <c r="D157" s="85" t="s">
        <v>178</v>
      </c>
      <c r="E157" s="86">
        <f>환경사업팀!D51</f>
        <v>0</v>
      </c>
    </row>
    <row r="158" spans="1:5">
      <c r="A158" s="400"/>
      <c r="B158" s="382"/>
      <c r="C158" s="382"/>
      <c r="D158" s="85" t="s">
        <v>171</v>
      </c>
      <c r="E158" s="86">
        <f>환경사업팀!D52</f>
        <v>0</v>
      </c>
    </row>
    <row r="159" spans="1:5">
      <c r="A159" s="400"/>
      <c r="B159" s="382" t="s">
        <v>155</v>
      </c>
      <c r="C159" s="382">
        <f>환경사업팀!$B$53</f>
        <v>1</v>
      </c>
      <c r="D159" s="85" t="s">
        <v>172</v>
      </c>
      <c r="E159" s="86">
        <f>환경사업팀!D53</f>
        <v>0</v>
      </c>
    </row>
    <row r="160" spans="1:5">
      <c r="A160" s="400"/>
      <c r="B160" s="382"/>
      <c r="C160" s="382"/>
      <c r="D160" s="85" t="s">
        <v>173</v>
      </c>
      <c r="E160" s="86">
        <f>환경사업팀!D54</f>
        <v>0</v>
      </c>
    </row>
    <row r="161" spans="1:5">
      <c r="A161" s="400"/>
      <c r="B161" s="382"/>
      <c r="C161" s="382"/>
      <c r="D161" s="85" t="s">
        <v>174</v>
      </c>
      <c r="E161" s="86">
        <f>환경사업팀!D55</f>
        <v>0</v>
      </c>
    </row>
    <row r="162" spans="1:5">
      <c r="A162" s="400"/>
      <c r="B162" s="382"/>
      <c r="C162" s="382"/>
      <c r="D162" s="85" t="s">
        <v>175</v>
      </c>
      <c r="E162" s="86">
        <f>환경사업팀!D56</f>
        <v>1</v>
      </c>
    </row>
    <row r="163" spans="1:5">
      <c r="A163" s="400"/>
      <c r="B163" s="382"/>
      <c r="C163" s="382"/>
      <c r="D163" s="85" t="s">
        <v>176</v>
      </c>
      <c r="E163" s="86">
        <f>환경사업팀!D57</f>
        <v>0</v>
      </c>
    </row>
    <row r="164" spans="1:5">
      <c r="A164" s="400"/>
      <c r="B164" s="382"/>
      <c r="C164" s="382"/>
      <c r="D164" s="85" t="s">
        <v>177</v>
      </c>
      <c r="E164" s="86">
        <f>환경사업팀!D58</f>
        <v>0</v>
      </c>
    </row>
    <row r="165" spans="1:5">
      <c r="A165" s="400"/>
      <c r="B165" s="93" t="s">
        <v>189</v>
      </c>
      <c r="C165" s="94">
        <f>SUM(C143:C164)</f>
        <v>14</v>
      </c>
      <c r="D165" s="93" t="s">
        <v>189</v>
      </c>
      <c r="E165" s="94">
        <f>SUM(E143:E164)</f>
        <v>14</v>
      </c>
    </row>
    <row r="166" spans="1:5">
      <c r="A166" s="397" t="s">
        <v>197</v>
      </c>
      <c r="B166" s="382" t="s">
        <v>153</v>
      </c>
      <c r="C166" s="382">
        <f>행복나루!$B$35</f>
        <v>4</v>
      </c>
      <c r="D166" s="85" t="s">
        <v>157</v>
      </c>
      <c r="E166" s="86">
        <f>행복나루!D35</f>
        <v>0</v>
      </c>
    </row>
    <row r="167" spans="1:5">
      <c r="A167" s="398"/>
      <c r="B167" s="382"/>
      <c r="C167" s="382"/>
      <c r="D167" s="85" t="s">
        <v>158</v>
      </c>
      <c r="E167" s="86">
        <f>행복나루!D36</f>
        <v>0</v>
      </c>
    </row>
    <row r="168" spans="1:5">
      <c r="A168" s="398"/>
      <c r="B168" s="382"/>
      <c r="C168" s="382"/>
      <c r="D168" s="85" t="s">
        <v>159</v>
      </c>
      <c r="E168" s="86">
        <f>행복나루!D37</f>
        <v>0</v>
      </c>
    </row>
    <row r="169" spans="1:5">
      <c r="A169" s="398"/>
      <c r="B169" s="382"/>
      <c r="C169" s="382"/>
      <c r="D169" s="85" t="s">
        <v>160</v>
      </c>
      <c r="E169" s="86">
        <f>행복나루!D38</f>
        <v>0</v>
      </c>
    </row>
    <row r="170" spans="1:5">
      <c r="A170" s="398"/>
      <c r="B170" s="382"/>
      <c r="C170" s="382"/>
      <c r="D170" s="85" t="s">
        <v>161</v>
      </c>
      <c r="E170" s="86">
        <f>행복나루!D39</f>
        <v>0</v>
      </c>
    </row>
    <row r="171" spans="1:5">
      <c r="A171" s="398"/>
      <c r="B171" s="382"/>
      <c r="C171" s="382"/>
      <c r="D171" s="85" t="s">
        <v>162</v>
      </c>
      <c r="E171" s="86">
        <f>행복나루!D40</f>
        <v>4</v>
      </c>
    </row>
    <row r="172" spans="1:5">
      <c r="A172" s="398"/>
      <c r="B172" s="382" t="s">
        <v>154</v>
      </c>
      <c r="C172" s="382">
        <f>행복나루!$B$41</f>
        <v>3</v>
      </c>
      <c r="D172" s="85" t="s">
        <v>163</v>
      </c>
      <c r="E172" s="86">
        <f>행복나루!D41</f>
        <v>3</v>
      </c>
    </row>
    <row r="173" spans="1:5">
      <c r="A173" s="398"/>
      <c r="B173" s="382"/>
      <c r="C173" s="382"/>
      <c r="D173" s="85" t="s">
        <v>164</v>
      </c>
      <c r="E173" s="86">
        <f>행복나루!D42</f>
        <v>0</v>
      </c>
    </row>
    <row r="174" spans="1:5">
      <c r="A174" s="398"/>
      <c r="B174" s="382"/>
      <c r="C174" s="382"/>
      <c r="D174" s="85" t="s">
        <v>165</v>
      </c>
      <c r="E174" s="86">
        <f>행복나루!D43</f>
        <v>0</v>
      </c>
    </row>
    <row r="175" spans="1:5">
      <c r="A175" s="398"/>
      <c r="B175" s="382"/>
      <c r="C175" s="382"/>
      <c r="D175" s="85" t="s">
        <v>166</v>
      </c>
      <c r="E175" s="86">
        <f>행복나루!D44</f>
        <v>0</v>
      </c>
    </row>
    <row r="176" spans="1:5">
      <c r="A176" s="398"/>
      <c r="B176" s="382"/>
      <c r="C176" s="382"/>
      <c r="D176" s="85" t="s">
        <v>167</v>
      </c>
      <c r="E176" s="86">
        <f>행복나루!D45</f>
        <v>0</v>
      </c>
    </row>
    <row r="177" spans="1:5">
      <c r="A177" s="398"/>
      <c r="B177" s="382" t="s">
        <v>156</v>
      </c>
      <c r="C177" s="382">
        <f>행복나루!$B$46</f>
        <v>1</v>
      </c>
      <c r="D177" s="85" t="s">
        <v>168</v>
      </c>
      <c r="E177" s="86">
        <f>행복나루!D46</f>
        <v>1</v>
      </c>
    </row>
    <row r="178" spans="1:5">
      <c r="A178" s="398"/>
      <c r="B178" s="382"/>
      <c r="C178" s="382"/>
      <c r="D178" s="85" t="s">
        <v>169</v>
      </c>
      <c r="E178" s="86">
        <f>행복나루!D47</f>
        <v>0</v>
      </c>
    </row>
    <row r="179" spans="1:5">
      <c r="A179" s="398"/>
      <c r="B179" s="382"/>
      <c r="C179" s="382"/>
      <c r="D179" s="85" t="s">
        <v>170</v>
      </c>
      <c r="E179" s="86">
        <f>행복나루!D48</f>
        <v>0</v>
      </c>
    </row>
    <row r="180" spans="1:5">
      <c r="A180" s="398"/>
      <c r="B180" s="382"/>
      <c r="C180" s="382"/>
      <c r="D180" s="85" t="s">
        <v>178</v>
      </c>
      <c r="E180" s="86">
        <f>행복나루!D49</f>
        <v>0</v>
      </c>
    </row>
    <row r="181" spans="1:5">
      <c r="A181" s="398"/>
      <c r="B181" s="382"/>
      <c r="C181" s="382"/>
      <c r="D181" s="85" t="s">
        <v>171</v>
      </c>
      <c r="E181" s="86">
        <f>행복나루!D50</f>
        <v>0</v>
      </c>
    </row>
    <row r="182" spans="1:5">
      <c r="A182" s="398"/>
      <c r="B182" s="382" t="s">
        <v>155</v>
      </c>
      <c r="C182" s="382">
        <f>행복나루!$B$51</f>
        <v>12</v>
      </c>
      <c r="D182" s="85" t="s">
        <v>172</v>
      </c>
      <c r="E182" s="86">
        <f>행복나루!D51</f>
        <v>0</v>
      </c>
    </row>
    <row r="183" spans="1:5">
      <c r="A183" s="398"/>
      <c r="B183" s="382"/>
      <c r="C183" s="382"/>
      <c r="D183" s="85" t="s">
        <v>173</v>
      </c>
      <c r="E183" s="86">
        <f>행복나루!D52</f>
        <v>8</v>
      </c>
    </row>
    <row r="184" spans="1:5">
      <c r="A184" s="398"/>
      <c r="B184" s="382"/>
      <c r="C184" s="382"/>
      <c r="D184" s="85" t="s">
        <v>174</v>
      </c>
      <c r="E184" s="86">
        <f>행복나루!D53</f>
        <v>0</v>
      </c>
    </row>
    <row r="185" spans="1:5">
      <c r="A185" s="398"/>
      <c r="B185" s="382"/>
      <c r="C185" s="382"/>
      <c r="D185" s="85" t="s">
        <v>175</v>
      </c>
      <c r="E185" s="86">
        <f>행복나루!D54</f>
        <v>4</v>
      </c>
    </row>
    <row r="186" spans="1:5">
      <c r="A186" s="398"/>
      <c r="B186" s="382"/>
      <c r="C186" s="382"/>
      <c r="D186" s="85" t="s">
        <v>176</v>
      </c>
      <c r="E186" s="86">
        <f>행복나루!D55</f>
        <v>0</v>
      </c>
    </row>
    <row r="187" spans="1:5">
      <c r="A187" s="398"/>
      <c r="B187" s="382"/>
      <c r="C187" s="382"/>
      <c r="D187" s="85" t="s">
        <v>177</v>
      </c>
      <c r="E187" s="86">
        <f>행복나루!D56</f>
        <v>0</v>
      </c>
    </row>
    <row r="188" spans="1:5">
      <c r="A188" s="398"/>
      <c r="B188" s="93" t="s">
        <v>189</v>
      </c>
      <c r="C188" s="94">
        <f>SUM(C166:C187)</f>
        <v>20</v>
      </c>
      <c r="D188" s="93" t="s">
        <v>189</v>
      </c>
      <c r="E188" s="94">
        <f>SUM(E166:E187)</f>
        <v>20</v>
      </c>
    </row>
  </sheetData>
  <mergeCells count="86">
    <mergeCell ref="I21:I26"/>
    <mergeCell ref="H1:K3"/>
    <mergeCell ref="H4:I4"/>
    <mergeCell ref="J4:K4"/>
    <mergeCell ref="H5:H10"/>
    <mergeCell ref="I5:I10"/>
    <mergeCell ref="H11:H15"/>
    <mergeCell ref="I11:I15"/>
    <mergeCell ref="H16:H20"/>
    <mergeCell ref="I16:I20"/>
    <mergeCell ref="H21:H26"/>
    <mergeCell ref="A166:A188"/>
    <mergeCell ref="B166:B171"/>
    <mergeCell ref="C166:C171"/>
    <mergeCell ref="B172:B176"/>
    <mergeCell ref="C172:C176"/>
    <mergeCell ref="B177:B181"/>
    <mergeCell ref="C177:C181"/>
    <mergeCell ref="B182:B187"/>
    <mergeCell ref="C182:C187"/>
    <mergeCell ref="A143:A165"/>
    <mergeCell ref="B143:B148"/>
    <mergeCell ref="C143:C148"/>
    <mergeCell ref="B149:B153"/>
    <mergeCell ref="C149:C153"/>
    <mergeCell ref="B154:B158"/>
    <mergeCell ref="C154:C158"/>
    <mergeCell ref="B159:B164"/>
    <mergeCell ref="C159:C164"/>
    <mergeCell ref="A120:A142"/>
    <mergeCell ref="B120:B125"/>
    <mergeCell ref="C120:C125"/>
    <mergeCell ref="B126:B130"/>
    <mergeCell ref="C126:C130"/>
    <mergeCell ref="B131:B135"/>
    <mergeCell ref="C131:C135"/>
    <mergeCell ref="B136:B141"/>
    <mergeCell ref="C136:C141"/>
    <mergeCell ref="A97:A119"/>
    <mergeCell ref="B97:B102"/>
    <mergeCell ref="C97:C102"/>
    <mergeCell ref="B103:B107"/>
    <mergeCell ref="C103:C107"/>
    <mergeCell ref="B108:B112"/>
    <mergeCell ref="C108:C112"/>
    <mergeCell ref="B113:B118"/>
    <mergeCell ref="C113:C118"/>
    <mergeCell ref="A74:A96"/>
    <mergeCell ref="B74:B79"/>
    <mergeCell ref="C74:C79"/>
    <mergeCell ref="B80:B84"/>
    <mergeCell ref="C80:C84"/>
    <mergeCell ref="B85:B89"/>
    <mergeCell ref="C85:C89"/>
    <mergeCell ref="B90:B95"/>
    <mergeCell ref="C90:C95"/>
    <mergeCell ref="A51:A73"/>
    <mergeCell ref="B51:B56"/>
    <mergeCell ref="C51:C56"/>
    <mergeCell ref="B57:B61"/>
    <mergeCell ref="C57:C61"/>
    <mergeCell ref="B62:B66"/>
    <mergeCell ref="C62:C66"/>
    <mergeCell ref="B67:B72"/>
    <mergeCell ref="C67:C72"/>
    <mergeCell ref="A28:A50"/>
    <mergeCell ref="B28:B33"/>
    <mergeCell ref="C28:C33"/>
    <mergeCell ref="B34:B38"/>
    <mergeCell ref="C34:C38"/>
    <mergeCell ref="B39:B43"/>
    <mergeCell ref="C39:C43"/>
    <mergeCell ref="B44:B49"/>
    <mergeCell ref="C44:C49"/>
    <mergeCell ref="A1:E3"/>
    <mergeCell ref="B4:C4"/>
    <mergeCell ref="D4:E4"/>
    <mergeCell ref="A5:A27"/>
    <mergeCell ref="B5:B10"/>
    <mergeCell ref="C5:C10"/>
    <mergeCell ref="B11:B15"/>
    <mergeCell ref="C11:C15"/>
    <mergeCell ref="B16:B20"/>
    <mergeCell ref="C16:C20"/>
    <mergeCell ref="B21:B26"/>
    <mergeCell ref="C21:C2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0052-0862-4567-AB75-0D5EFFB59D09}">
  <sheetPr>
    <pageSetUpPr fitToPage="1"/>
  </sheetPr>
  <dimension ref="A1:M60"/>
  <sheetViews>
    <sheetView view="pageBreakPreview" topLeftCell="F1" zoomScale="85" zoomScaleNormal="70" zoomScaleSheetLayoutView="85" workbookViewId="0">
      <selection activeCell="C33" sqref="C33:C36"/>
    </sheetView>
  </sheetViews>
  <sheetFormatPr defaultColWidth="8.875" defaultRowHeight="16.5"/>
  <cols>
    <col min="1" max="1" width="8" style="1" customWidth="1"/>
    <col min="2" max="2" width="27.25" style="2" customWidth="1"/>
    <col min="3" max="3" width="41.5" style="2" customWidth="1"/>
    <col min="4" max="4" width="11.75" style="2" customWidth="1"/>
    <col min="5" max="5" width="58.625" style="3" customWidth="1"/>
    <col min="6" max="9" width="10.625" style="2" customWidth="1"/>
    <col min="10" max="10" width="66.5" style="3" customWidth="1"/>
    <col min="11" max="11" width="19.125" style="2" customWidth="1"/>
    <col min="12" max="12" width="21" style="2" customWidth="1"/>
    <col min="13" max="13" width="34.75" style="1" customWidth="1"/>
    <col min="14" max="16384" width="8.875" style="1"/>
  </cols>
  <sheetData>
    <row r="1" spans="1:13" ht="69.75" customHeight="1" thickBot="1">
      <c r="A1" s="406" t="s">
        <v>148</v>
      </c>
      <c r="B1" s="407"/>
      <c r="C1" s="407"/>
      <c r="D1" s="407"/>
      <c r="E1" s="407"/>
      <c r="F1" s="408"/>
      <c r="G1" s="408"/>
      <c r="H1" s="408"/>
      <c r="I1" s="408"/>
      <c r="J1" s="408"/>
      <c r="K1" s="408"/>
      <c r="L1" s="408"/>
      <c r="M1" s="407"/>
    </row>
    <row r="2" spans="1:13" ht="42.75" customHeight="1">
      <c r="A2" s="23" t="s">
        <v>15</v>
      </c>
      <c r="B2" s="23" t="s">
        <v>0</v>
      </c>
      <c r="C2" s="13" t="s">
        <v>13</v>
      </c>
      <c r="D2" s="13" t="s">
        <v>11</v>
      </c>
      <c r="E2" s="34" t="s">
        <v>1</v>
      </c>
      <c r="F2" s="38" t="s">
        <v>16</v>
      </c>
      <c r="G2" s="412" t="s">
        <v>12</v>
      </c>
      <c r="H2" s="412"/>
      <c r="I2" s="39" t="s">
        <v>47</v>
      </c>
      <c r="J2" s="39" t="s">
        <v>18</v>
      </c>
      <c r="K2" s="39" t="s">
        <v>17</v>
      </c>
      <c r="L2" s="40" t="s">
        <v>21</v>
      </c>
      <c r="M2" s="46" t="s">
        <v>19</v>
      </c>
    </row>
    <row r="3" spans="1:13" s="10" customFormat="1">
      <c r="A3" s="111" t="s">
        <v>14</v>
      </c>
      <c r="B3" s="409" t="s">
        <v>264</v>
      </c>
      <c r="C3" s="409" t="str">
        <f>C39</f>
        <v>중장기경영 전략계획 수립</v>
      </c>
      <c r="D3" s="127" t="s">
        <v>38</v>
      </c>
      <c r="E3" s="128" t="s">
        <v>64</v>
      </c>
      <c r="F3" s="129">
        <v>10</v>
      </c>
      <c r="G3" s="130" t="s">
        <v>224</v>
      </c>
      <c r="H3" s="131">
        <v>0.5</v>
      </c>
      <c r="I3" s="132">
        <v>5</v>
      </c>
      <c r="J3" s="133" t="s">
        <v>225</v>
      </c>
      <c r="K3" s="136"/>
      <c r="L3" s="134"/>
      <c r="M3" s="135" t="s">
        <v>226</v>
      </c>
    </row>
    <row r="4" spans="1:13" s="10" customFormat="1">
      <c r="A4" s="111" t="s">
        <v>20</v>
      </c>
      <c r="B4" s="409"/>
      <c r="C4" s="409"/>
      <c r="D4" s="127" t="s">
        <v>38</v>
      </c>
      <c r="E4" s="128" t="s">
        <v>65</v>
      </c>
      <c r="F4" s="129">
        <v>10</v>
      </c>
      <c r="G4" s="130" t="s">
        <v>224</v>
      </c>
      <c r="H4" s="131">
        <v>0.5</v>
      </c>
      <c r="I4" s="132">
        <v>5</v>
      </c>
      <c r="J4" s="133" t="s">
        <v>227</v>
      </c>
      <c r="K4" s="136" t="s">
        <v>228</v>
      </c>
      <c r="L4" s="134" t="s">
        <v>229</v>
      </c>
      <c r="M4" s="135" t="s">
        <v>230</v>
      </c>
    </row>
    <row r="5" spans="1:13" s="10" customFormat="1">
      <c r="A5" s="111" t="s">
        <v>2</v>
      </c>
      <c r="B5" s="409"/>
      <c r="C5" s="409"/>
      <c r="D5" s="127" t="s">
        <v>38</v>
      </c>
      <c r="E5" s="128" t="s">
        <v>66</v>
      </c>
      <c r="F5" s="129">
        <v>10</v>
      </c>
      <c r="G5" s="130" t="s">
        <v>224</v>
      </c>
      <c r="H5" s="131">
        <v>0.3</v>
      </c>
      <c r="I5" s="132">
        <v>3</v>
      </c>
      <c r="J5" s="133" t="s">
        <v>231</v>
      </c>
      <c r="K5" s="136" t="s">
        <v>228</v>
      </c>
      <c r="L5" s="134" t="s">
        <v>232</v>
      </c>
      <c r="M5" s="135" t="s">
        <v>233</v>
      </c>
    </row>
    <row r="6" spans="1:13" s="10" customFormat="1">
      <c r="A6" s="111" t="s">
        <v>3</v>
      </c>
      <c r="B6" s="409"/>
      <c r="C6" s="117" t="s">
        <v>161</v>
      </c>
      <c r="D6" s="127" t="s">
        <v>38</v>
      </c>
      <c r="E6" s="128" t="s">
        <v>134</v>
      </c>
      <c r="F6" s="129">
        <v>5</v>
      </c>
      <c r="G6" s="137" t="s">
        <v>224</v>
      </c>
      <c r="H6" s="138">
        <v>0.1</v>
      </c>
      <c r="I6" s="132">
        <v>0.5</v>
      </c>
      <c r="J6" s="136"/>
      <c r="K6" s="136"/>
      <c r="L6" s="134"/>
      <c r="M6" s="135"/>
    </row>
    <row r="7" spans="1:13" s="10" customFormat="1">
      <c r="A7" s="111" t="s">
        <v>4</v>
      </c>
      <c r="B7" s="409"/>
      <c r="C7" s="409" t="str">
        <f>C40</f>
        <v>건전재정운영 예산집행 투명성</v>
      </c>
      <c r="D7" s="127" t="s">
        <v>38</v>
      </c>
      <c r="E7" s="128" t="s">
        <v>67</v>
      </c>
      <c r="F7" s="129">
        <v>10</v>
      </c>
      <c r="G7" s="137" t="s">
        <v>224</v>
      </c>
      <c r="H7" s="131">
        <v>0.5</v>
      </c>
      <c r="I7" s="132">
        <v>5</v>
      </c>
      <c r="J7" s="133" t="s">
        <v>234</v>
      </c>
      <c r="K7" s="136" t="s">
        <v>228</v>
      </c>
      <c r="L7" s="134" t="s">
        <v>235</v>
      </c>
      <c r="M7" s="135"/>
    </row>
    <row r="8" spans="1:13" s="10" customFormat="1" ht="16.5" customHeight="1">
      <c r="A8" s="111" t="s">
        <v>5</v>
      </c>
      <c r="B8" s="409"/>
      <c r="C8" s="409"/>
      <c r="D8" s="153" t="s">
        <v>38</v>
      </c>
      <c r="E8" s="154" t="s">
        <v>135</v>
      </c>
      <c r="F8" s="118">
        <v>10</v>
      </c>
      <c r="G8" s="113" t="s">
        <v>224</v>
      </c>
      <c r="H8" s="155">
        <v>0.1</v>
      </c>
      <c r="I8" s="156">
        <v>1</v>
      </c>
      <c r="J8" s="121"/>
      <c r="K8" s="121"/>
      <c r="L8" s="122"/>
      <c r="M8" s="123"/>
    </row>
    <row r="9" spans="1:13" s="10" customFormat="1">
      <c r="A9" s="111" t="s">
        <v>6</v>
      </c>
      <c r="B9" s="409"/>
      <c r="C9" s="409"/>
      <c r="D9" s="127" t="s">
        <v>38</v>
      </c>
      <c r="E9" s="128" t="s">
        <v>41</v>
      </c>
      <c r="F9" s="129">
        <v>10</v>
      </c>
      <c r="G9" s="130" t="s">
        <v>224</v>
      </c>
      <c r="H9" s="131">
        <v>0.5</v>
      </c>
      <c r="I9" s="132">
        <v>5</v>
      </c>
      <c r="J9" s="136"/>
      <c r="K9" s="136"/>
      <c r="L9" s="134"/>
      <c r="M9" s="135"/>
    </row>
    <row r="10" spans="1:13" s="10" customFormat="1">
      <c r="A10" s="111" t="s">
        <v>7</v>
      </c>
      <c r="B10" s="409"/>
      <c r="C10" s="409"/>
      <c r="D10" s="127" t="s">
        <v>38</v>
      </c>
      <c r="E10" s="128" t="s">
        <v>42</v>
      </c>
      <c r="F10" s="139">
        <v>5</v>
      </c>
      <c r="G10" s="130" t="s">
        <v>224</v>
      </c>
      <c r="H10" s="131">
        <v>0.5</v>
      </c>
      <c r="I10" s="132">
        <v>2.5</v>
      </c>
      <c r="J10" s="136"/>
      <c r="K10" s="136"/>
      <c r="L10" s="134"/>
      <c r="M10" s="135"/>
    </row>
    <row r="11" spans="1:13" s="10" customFormat="1" ht="27">
      <c r="A11" s="111" t="s">
        <v>8</v>
      </c>
      <c r="B11" s="409"/>
      <c r="C11" s="409"/>
      <c r="D11" s="127" t="s">
        <v>39</v>
      </c>
      <c r="E11" s="128" t="s">
        <v>68</v>
      </c>
      <c r="F11" s="139">
        <v>10</v>
      </c>
      <c r="G11" s="130" t="s">
        <v>224</v>
      </c>
      <c r="H11" s="138">
        <v>0.5</v>
      </c>
      <c r="I11" s="132">
        <v>5</v>
      </c>
      <c r="J11" s="114" t="s">
        <v>236</v>
      </c>
      <c r="K11" s="136" t="s">
        <v>237</v>
      </c>
      <c r="L11" s="134" t="s">
        <v>238</v>
      </c>
      <c r="M11" s="135"/>
    </row>
    <row r="12" spans="1:13" s="10" customFormat="1">
      <c r="A12" s="111" t="s">
        <v>22</v>
      </c>
      <c r="B12" s="409"/>
      <c r="C12" s="117" t="str">
        <f>C43</f>
        <v xml:space="preserve"> 지역사회공헌 확대</v>
      </c>
      <c r="D12" s="127" t="s">
        <v>38</v>
      </c>
      <c r="E12" s="128" t="s">
        <v>73</v>
      </c>
      <c r="F12" s="140">
        <v>10</v>
      </c>
      <c r="G12" s="141" t="s">
        <v>239</v>
      </c>
      <c r="H12" s="138">
        <v>0.5</v>
      </c>
      <c r="I12" s="132">
        <v>5</v>
      </c>
      <c r="J12" s="114" t="s">
        <v>240</v>
      </c>
      <c r="K12" s="136"/>
      <c r="L12" s="134" t="s">
        <v>226</v>
      </c>
      <c r="M12" s="135"/>
    </row>
    <row r="13" spans="1:13" s="10" customFormat="1">
      <c r="A13" s="111" t="s">
        <v>9</v>
      </c>
      <c r="B13" s="409" t="s">
        <v>265</v>
      </c>
      <c r="C13" s="119" t="str">
        <f>C45</f>
        <v xml:space="preserve"> 합리적 승진 전보제도</v>
      </c>
      <c r="D13" s="127" t="s">
        <v>38</v>
      </c>
      <c r="E13" s="128" t="s">
        <v>69</v>
      </c>
      <c r="F13" s="139">
        <v>10</v>
      </c>
      <c r="G13" s="130" t="s">
        <v>224</v>
      </c>
      <c r="H13" s="131">
        <v>0.6</v>
      </c>
      <c r="I13" s="132">
        <v>6</v>
      </c>
      <c r="J13" s="136" t="s">
        <v>241</v>
      </c>
      <c r="K13" s="136" t="s">
        <v>242</v>
      </c>
      <c r="L13" s="142">
        <v>46185</v>
      </c>
      <c r="M13" s="135"/>
    </row>
    <row r="14" spans="1:13" s="10" customFormat="1">
      <c r="A14" s="111" t="s">
        <v>10</v>
      </c>
      <c r="B14" s="409"/>
      <c r="C14" s="409" t="str">
        <f>C44</f>
        <v xml:space="preserve"> 합리적인 조직관리</v>
      </c>
      <c r="D14" s="127" t="s">
        <v>38</v>
      </c>
      <c r="E14" s="128" t="s">
        <v>43</v>
      </c>
      <c r="F14" s="143">
        <v>10</v>
      </c>
      <c r="G14" s="130" t="s">
        <v>224</v>
      </c>
      <c r="H14" s="138">
        <v>0.3</v>
      </c>
      <c r="I14" s="132">
        <v>3</v>
      </c>
      <c r="J14" s="136" t="s">
        <v>243</v>
      </c>
      <c r="K14" s="136" t="s">
        <v>244</v>
      </c>
      <c r="L14" s="142">
        <v>46223</v>
      </c>
      <c r="M14" s="135"/>
    </row>
    <row r="15" spans="1:13" s="10" customFormat="1">
      <c r="A15" s="111" t="s">
        <v>25</v>
      </c>
      <c r="B15" s="409"/>
      <c r="C15" s="409"/>
      <c r="D15" s="127" t="s">
        <v>38</v>
      </c>
      <c r="E15" s="128" t="s">
        <v>70</v>
      </c>
      <c r="F15" s="139">
        <v>10</v>
      </c>
      <c r="G15" s="130" t="s">
        <v>224</v>
      </c>
      <c r="H15" s="131">
        <v>0.5</v>
      </c>
      <c r="I15" s="132">
        <v>5</v>
      </c>
      <c r="J15" s="136" t="s">
        <v>245</v>
      </c>
      <c r="K15" s="136" t="s">
        <v>246</v>
      </c>
      <c r="L15" s="142">
        <v>46211</v>
      </c>
      <c r="M15" s="135"/>
    </row>
    <row r="16" spans="1:13" s="10" customFormat="1">
      <c r="A16" s="111" t="s">
        <v>24</v>
      </c>
      <c r="B16" s="409"/>
      <c r="C16" s="409"/>
      <c r="D16" s="153" t="s">
        <v>39</v>
      </c>
      <c r="E16" s="154" t="s">
        <v>71</v>
      </c>
      <c r="F16" s="157">
        <v>10</v>
      </c>
      <c r="G16" s="112" t="s">
        <v>224</v>
      </c>
      <c r="H16" s="158">
        <v>0.5</v>
      </c>
      <c r="I16" s="156">
        <v>5</v>
      </c>
      <c r="J16" s="159" t="s">
        <v>247</v>
      </c>
      <c r="K16" s="159" t="s">
        <v>248</v>
      </c>
      <c r="L16" s="160">
        <v>46204</v>
      </c>
      <c r="M16" s="123"/>
    </row>
    <row r="17" spans="1:13" s="10" customFormat="1">
      <c r="A17" s="111" t="s">
        <v>23</v>
      </c>
      <c r="B17" s="409"/>
      <c r="C17" s="409"/>
      <c r="D17" s="150" t="s">
        <v>39</v>
      </c>
      <c r="E17" s="151" t="s">
        <v>266</v>
      </c>
      <c r="F17" s="152">
        <v>10</v>
      </c>
      <c r="G17" s="124" t="s">
        <v>224</v>
      </c>
      <c r="H17" s="120">
        <v>0.4</v>
      </c>
      <c r="I17" s="125">
        <v>4</v>
      </c>
      <c r="J17" s="121" t="s">
        <v>249</v>
      </c>
      <c r="K17" s="121" t="s">
        <v>250</v>
      </c>
      <c r="L17" s="126">
        <v>45880</v>
      </c>
      <c r="M17" s="123"/>
    </row>
    <row r="18" spans="1:13" s="10" customFormat="1">
      <c r="A18" s="111" t="s">
        <v>32</v>
      </c>
      <c r="B18" s="409"/>
      <c r="C18" s="409"/>
      <c r="D18" s="150" t="s">
        <v>39</v>
      </c>
      <c r="E18" s="151" t="s">
        <v>267</v>
      </c>
      <c r="F18" s="152">
        <v>10</v>
      </c>
      <c r="G18" s="124" t="s">
        <v>224</v>
      </c>
      <c r="H18" s="120">
        <v>1</v>
      </c>
      <c r="I18" s="125">
        <v>10</v>
      </c>
      <c r="J18" s="121" t="s">
        <v>251</v>
      </c>
      <c r="K18" s="121"/>
      <c r="L18" s="126" t="s">
        <v>252</v>
      </c>
      <c r="M18" s="123"/>
    </row>
    <row r="19" spans="1:13" s="10" customFormat="1">
      <c r="A19" s="111" t="s">
        <v>31</v>
      </c>
      <c r="B19" s="409"/>
      <c r="C19" s="409"/>
      <c r="D19" s="127" t="s">
        <v>38</v>
      </c>
      <c r="E19" s="128" t="s">
        <v>44</v>
      </c>
      <c r="F19" s="140">
        <v>5</v>
      </c>
      <c r="G19" s="141" t="s">
        <v>224</v>
      </c>
      <c r="H19" s="138">
        <v>0.5</v>
      </c>
      <c r="I19" s="132">
        <v>2.5</v>
      </c>
      <c r="J19" s="136" t="s">
        <v>253</v>
      </c>
      <c r="K19" s="136" t="s">
        <v>254</v>
      </c>
      <c r="L19" s="134" t="s">
        <v>255</v>
      </c>
      <c r="M19" s="135"/>
    </row>
    <row r="20" spans="1:13" s="10" customFormat="1" ht="27">
      <c r="A20" s="111" t="s">
        <v>30</v>
      </c>
      <c r="B20" s="409"/>
      <c r="C20" s="409"/>
      <c r="D20" s="127" t="s">
        <v>38</v>
      </c>
      <c r="E20" s="128" t="s">
        <v>54</v>
      </c>
      <c r="F20" s="140">
        <v>10</v>
      </c>
      <c r="G20" s="141" t="s">
        <v>256</v>
      </c>
      <c r="H20" s="138">
        <v>1</v>
      </c>
      <c r="I20" s="132">
        <v>10</v>
      </c>
      <c r="J20" s="136" t="s">
        <v>257</v>
      </c>
      <c r="K20" s="136" t="s">
        <v>258</v>
      </c>
      <c r="L20" s="134" t="s">
        <v>259</v>
      </c>
      <c r="M20" s="135"/>
    </row>
    <row r="21" spans="1:13" s="10" customFormat="1">
      <c r="A21" s="111" t="s">
        <v>29</v>
      </c>
      <c r="B21" s="409" t="s">
        <v>268</v>
      </c>
      <c r="C21" s="409" t="str">
        <f>C52</f>
        <v xml:space="preserve"> 「시설물통합정보관리시스템」 구축</v>
      </c>
      <c r="D21" s="153" t="s">
        <v>38</v>
      </c>
      <c r="E21" s="154" t="s">
        <v>72</v>
      </c>
      <c r="F21" s="161">
        <v>10</v>
      </c>
      <c r="G21" s="116" t="s">
        <v>224</v>
      </c>
      <c r="H21" s="158">
        <v>0.5</v>
      </c>
      <c r="I21" s="156">
        <v>5</v>
      </c>
      <c r="J21" s="136"/>
      <c r="K21" s="136"/>
      <c r="L21" s="134"/>
      <c r="M21" s="135"/>
    </row>
    <row r="22" spans="1:13" s="10" customFormat="1">
      <c r="A22" s="111" t="s">
        <v>28</v>
      </c>
      <c r="B22" s="409"/>
      <c r="C22" s="409"/>
      <c r="D22" s="127" t="s">
        <v>38</v>
      </c>
      <c r="E22" s="128" t="s">
        <v>55</v>
      </c>
      <c r="F22" s="140">
        <v>5</v>
      </c>
      <c r="G22" s="141" t="s">
        <v>224</v>
      </c>
      <c r="H22" s="138">
        <v>0.5</v>
      </c>
      <c r="I22" s="132">
        <v>2.5</v>
      </c>
      <c r="J22" s="136"/>
      <c r="K22" s="136"/>
      <c r="L22" s="134"/>
      <c r="M22" s="135"/>
    </row>
    <row r="23" spans="1:13" ht="23.25" customHeight="1" thickBot="1">
      <c r="A23" s="115" t="s">
        <v>27</v>
      </c>
      <c r="B23" s="117" t="s">
        <v>269</v>
      </c>
      <c r="C23" s="117" t="str">
        <f>C59</f>
        <v xml:space="preserve"> 노인일자리 창출 및 확대</v>
      </c>
      <c r="D23" s="127" t="s">
        <v>38</v>
      </c>
      <c r="E23" s="128" t="s">
        <v>40</v>
      </c>
      <c r="F23" s="144">
        <v>10</v>
      </c>
      <c r="G23" s="145" t="s">
        <v>256</v>
      </c>
      <c r="H23" s="146">
        <v>1</v>
      </c>
      <c r="I23" s="147">
        <v>10</v>
      </c>
      <c r="J23" s="148" t="s">
        <v>260</v>
      </c>
      <c r="K23" s="148" t="s">
        <v>261</v>
      </c>
      <c r="L23" s="149" t="s">
        <v>262</v>
      </c>
      <c r="M23" s="135" t="s">
        <v>263</v>
      </c>
    </row>
    <row r="24" spans="1:13">
      <c r="A24" s="106"/>
      <c r="B24" s="107"/>
      <c r="C24" s="109"/>
      <c r="D24" s="109"/>
      <c r="E24" s="110"/>
      <c r="F24" s="107"/>
      <c r="G24" s="107"/>
      <c r="H24" s="107"/>
      <c r="I24" s="107"/>
      <c r="J24" s="110"/>
      <c r="K24" s="109"/>
      <c r="L24" s="109"/>
      <c r="M24" s="108"/>
    </row>
    <row r="25" spans="1:13">
      <c r="A25" s="106"/>
      <c r="B25" s="107"/>
      <c r="C25" s="109"/>
      <c r="D25" s="109"/>
      <c r="E25" s="110"/>
      <c r="F25" s="107"/>
      <c r="G25" s="107"/>
      <c r="H25" s="107"/>
      <c r="I25" s="107"/>
      <c r="J25" s="110"/>
      <c r="K25" s="109"/>
      <c r="L25" s="109"/>
      <c r="M25" s="108"/>
    </row>
    <row r="26" spans="1:13">
      <c r="C26" s="20"/>
      <c r="D26" s="20"/>
      <c r="E26" s="21"/>
      <c r="J26" s="21"/>
      <c r="K26" s="20"/>
      <c r="L26" s="20"/>
      <c r="M26" s="19"/>
    </row>
    <row r="27" spans="1:13">
      <c r="C27" s="20"/>
      <c r="D27" s="20"/>
      <c r="E27" s="21"/>
      <c r="J27" s="21"/>
      <c r="K27" s="20"/>
      <c r="L27" s="20"/>
      <c r="M27" s="19"/>
    </row>
    <row r="28" spans="1:13">
      <c r="C28" s="20"/>
      <c r="E28" s="21"/>
      <c r="J28" s="21"/>
      <c r="K28" s="20"/>
      <c r="L28" s="20"/>
      <c r="M28" s="19"/>
    </row>
    <row r="29" spans="1:13">
      <c r="C29" s="20"/>
      <c r="E29" s="21" t="s">
        <v>61</v>
      </c>
      <c r="F29" s="16" t="s">
        <v>46</v>
      </c>
      <c r="G29" s="16" t="s">
        <v>47</v>
      </c>
      <c r="H29" s="413" t="s">
        <v>48</v>
      </c>
      <c r="I29" s="414"/>
      <c r="J29" s="21"/>
      <c r="K29" s="20"/>
      <c r="L29" s="20"/>
      <c r="M29" s="19"/>
    </row>
    <row r="30" spans="1:13">
      <c r="C30" s="20"/>
      <c r="E30" s="21"/>
      <c r="F30" s="16">
        <f>SUM(F3:F23)</f>
        <v>190</v>
      </c>
      <c r="G30" s="29">
        <f>SUM(I3:I26)</f>
        <v>100</v>
      </c>
      <c r="H30" s="415">
        <f>G30/F30*100</f>
        <v>52.631578947368418</v>
      </c>
      <c r="I30" s="416"/>
      <c r="J30" s="21"/>
      <c r="K30" s="20"/>
      <c r="L30" s="20"/>
      <c r="M30" s="19"/>
    </row>
    <row r="31" spans="1:13">
      <c r="C31" s="20"/>
      <c r="E31" s="21"/>
      <c r="H31" s="297">
        <f>AVERAGE($H$3:H23)</f>
        <v>0.51428571428571435</v>
      </c>
      <c r="J31" s="21"/>
      <c r="K31" s="20"/>
      <c r="L31" s="20"/>
      <c r="M31" s="19"/>
    </row>
    <row r="32" spans="1:13">
      <c r="C32" s="20"/>
      <c r="D32" s="20"/>
      <c r="E32" s="21"/>
      <c r="J32" s="21"/>
      <c r="K32" s="20"/>
      <c r="L32" s="20"/>
      <c r="M32" s="19"/>
    </row>
    <row r="33" spans="1:13">
      <c r="C33" s="410" t="s">
        <v>188</v>
      </c>
      <c r="D33" s="26" t="s">
        <v>38</v>
      </c>
      <c r="E33" s="21"/>
      <c r="J33" s="21"/>
      <c r="K33" s="20"/>
      <c r="L33" s="20"/>
      <c r="M33" s="19"/>
    </row>
    <row r="34" spans="1:13">
      <c r="C34" s="410"/>
      <c r="D34" s="26">
        <f>COUNTIF(D3:D32,$D$33)</f>
        <v>17</v>
      </c>
      <c r="E34" s="21"/>
      <c r="J34" s="21"/>
      <c r="K34" s="20"/>
      <c r="L34" s="20"/>
      <c r="M34" s="19"/>
    </row>
    <row r="35" spans="1:13">
      <c r="C35" s="410"/>
      <c r="D35" s="26" t="s">
        <v>187</v>
      </c>
      <c r="E35" s="21"/>
      <c r="J35" s="21"/>
      <c r="K35" s="20"/>
      <c r="L35" s="20"/>
      <c r="M35" s="19"/>
    </row>
    <row r="36" spans="1:13">
      <c r="C36" s="411"/>
      <c r="D36" s="26">
        <f>COUNTIF(D3:D34,$D$35)</f>
        <v>4</v>
      </c>
      <c r="E36" s="21"/>
      <c r="J36" s="21"/>
      <c r="K36" s="20"/>
      <c r="L36" s="20"/>
      <c r="M36" s="19"/>
    </row>
    <row r="37" spans="1:13">
      <c r="A37" s="381" t="s">
        <v>63</v>
      </c>
      <c r="B37" s="381"/>
      <c r="C37" s="381" t="s">
        <v>186</v>
      </c>
      <c r="D37" s="381"/>
      <c r="E37" s="21"/>
      <c r="J37" s="21"/>
      <c r="K37" s="20"/>
      <c r="L37" s="20"/>
      <c r="M37" s="19"/>
    </row>
    <row r="38" spans="1:13">
      <c r="A38" s="382" t="s">
        <v>153</v>
      </c>
      <c r="B38" s="382">
        <f>SUMPRODUCT(--(LOOKUP(ROW($B$2:$B$22),ROW($B$2:$B$23)/($B$2:$B$23&lt;&gt;""),$B$2:$B$23)=A38))</f>
        <v>10</v>
      </c>
      <c r="C38" s="85" t="s">
        <v>157</v>
      </c>
      <c r="D38" s="86">
        <f>SUMPRODUCT(--(LOOKUP(ROW($C$2:$C$22),ROW($C$2:$C$22)/($C$2:$C$22&lt;&gt;""),$C$2:$C$22)=C38))</f>
        <v>0</v>
      </c>
      <c r="E38" s="21">
        <f>SUM(D38:D43)-B38</f>
        <v>0</v>
      </c>
      <c r="J38" s="21"/>
      <c r="K38" s="20"/>
      <c r="L38" s="20"/>
      <c r="M38" s="19"/>
    </row>
    <row r="39" spans="1:13">
      <c r="A39" s="382"/>
      <c r="B39" s="382"/>
      <c r="C39" s="85" t="s">
        <v>158</v>
      </c>
      <c r="D39" s="86">
        <f t="shared" ref="D39:D58" si="0">SUMPRODUCT(--(LOOKUP(ROW($C$2:$C$22),ROW($C$2:$C$22)/($C$2:$C$22&lt;&gt;""),$C$2:$C$22)=C39))</f>
        <v>3</v>
      </c>
      <c r="E39" s="21"/>
      <c r="J39" s="21"/>
      <c r="K39" s="20"/>
      <c r="L39" s="20"/>
      <c r="M39" s="19"/>
    </row>
    <row r="40" spans="1:13">
      <c r="A40" s="382"/>
      <c r="B40" s="382"/>
      <c r="C40" s="85" t="s">
        <v>159</v>
      </c>
      <c r="D40" s="86">
        <f t="shared" si="0"/>
        <v>5</v>
      </c>
      <c r="E40" s="21"/>
      <c r="J40" s="21"/>
      <c r="K40" s="20"/>
      <c r="L40" s="20"/>
      <c r="M40" s="19"/>
    </row>
    <row r="41" spans="1:13">
      <c r="A41" s="382"/>
      <c r="B41" s="382"/>
      <c r="C41" s="85" t="s">
        <v>160</v>
      </c>
      <c r="D41" s="86">
        <f t="shared" si="0"/>
        <v>0</v>
      </c>
      <c r="E41" s="21"/>
      <c r="J41" s="21"/>
      <c r="K41" s="20"/>
      <c r="L41" s="20"/>
      <c r="M41" s="19"/>
    </row>
    <row r="42" spans="1:13">
      <c r="A42" s="382"/>
      <c r="B42" s="382"/>
      <c r="C42" s="85" t="s">
        <v>161</v>
      </c>
      <c r="D42" s="86">
        <f t="shared" si="0"/>
        <v>1</v>
      </c>
      <c r="E42" s="21"/>
      <c r="J42" s="21"/>
      <c r="K42" s="20"/>
      <c r="L42" s="20"/>
      <c r="M42" s="19"/>
    </row>
    <row r="43" spans="1:13">
      <c r="A43" s="382"/>
      <c r="B43" s="382"/>
      <c r="C43" s="85" t="s">
        <v>162</v>
      </c>
      <c r="D43" s="86">
        <f t="shared" si="0"/>
        <v>1</v>
      </c>
      <c r="E43" s="21"/>
      <c r="J43" s="21"/>
      <c r="K43" s="20"/>
      <c r="L43" s="20"/>
      <c r="M43" s="19"/>
    </row>
    <row r="44" spans="1:13">
      <c r="A44" s="382" t="s">
        <v>154</v>
      </c>
      <c r="B44" s="382">
        <f>SUMPRODUCT(--(LOOKUP(ROW($B$2:$B$22),ROW($B$2:$B$23)/($B$2:$B$23&lt;&gt;""),$B$2:$B$23)=A44))</f>
        <v>8</v>
      </c>
      <c r="C44" s="85" t="s">
        <v>163</v>
      </c>
      <c r="D44" s="86">
        <f t="shared" si="0"/>
        <v>7</v>
      </c>
      <c r="E44" s="21">
        <f>SUM(D44:D48)-B44</f>
        <v>0</v>
      </c>
      <c r="J44" s="21"/>
      <c r="K44" s="20"/>
      <c r="L44" s="20"/>
      <c r="M44" s="19"/>
    </row>
    <row r="45" spans="1:13">
      <c r="A45" s="382"/>
      <c r="B45" s="382"/>
      <c r="C45" s="85" t="s">
        <v>164</v>
      </c>
      <c r="D45" s="86">
        <f t="shared" si="0"/>
        <v>1</v>
      </c>
      <c r="E45" s="21"/>
      <c r="J45" s="21"/>
      <c r="K45" s="20"/>
      <c r="L45" s="20"/>
      <c r="M45" s="19"/>
    </row>
    <row r="46" spans="1:13">
      <c r="A46" s="382"/>
      <c r="B46" s="382"/>
      <c r="C46" s="85" t="s">
        <v>165</v>
      </c>
      <c r="D46" s="86">
        <f t="shared" si="0"/>
        <v>0</v>
      </c>
      <c r="E46" s="21"/>
      <c r="J46" s="21"/>
      <c r="K46" s="20"/>
      <c r="L46" s="20"/>
      <c r="M46" s="19"/>
    </row>
    <row r="47" spans="1:13">
      <c r="A47" s="382"/>
      <c r="B47" s="382"/>
      <c r="C47" s="85" t="s">
        <v>166</v>
      </c>
      <c r="D47" s="86">
        <f t="shared" si="0"/>
        <v>0</v>
      </c>
      <c r="E47" s="21"/>
      <c r="J47" s="21"/>
      <c r="K47" s="20"/>
      <c r="L47" s="20"/>
      <c r="M47" s="19"/>
    </row>
    <row r="48" spans="1:13">
      <c r="A48" s="382"/>
      <c r="B48" s="382"/>
      <c r="C48" s="85" t="s">
        <v>167</v>
      </c>
      <c r="D48" s="86">
        <f t="shared" si="0"/>
        <v>0</v>
      </c>
      <c r="E48" s="21"/>
      <c r="J48" s="21"/>
      <c r="K48" s="20"/>
      <c r="L48" s="20"/>
      <c r="M48" s="19"/>
    </row>
    <row r="49" spans="1:5">
      <c r="A49" s="382" t="s">
        <v>156</v>
      </c>
      <c r="B49" s="382">
        <f>SUMPRODUCT(--(LOOKUP(ROW($B$2:$B$22),ROW($B$2:$B$23)/($B$2:$B$23&lt;&gt;""),$B$2:$B$23)=A49))</f>
        <v>2</v>
      </c>
      <c r="C49" s="85" t="s">
        <v>168</v>
      </c>
      <c r="D49" s="86">
        <f t="shared" si="0"/>
        <v>0</v>
      </c>
      <c r="E49" s="3">
        <f>SUM(D49:D53)-B49</f>
        <v>0</v>
      </c>
    </row>
    <row r="50" spans="1:5">
      <c r="A50" s="382"/>
      <c r="B50" s="382"/>
      <c r="C50" s="85" t="s">
        <v>169</v>
      </c>
      <c r="D50" s="86">
        <f t="shared" si="0"/>
        <v>0</v>
      </c>
    </row>
    <row r="51" spans="1:5">
      <c r="A51" s="382"/>
      <c r="B51" s="382"/>
      <c r="C51" s="85" t="s">
        <v>170</v>
      </c>
      <c r="D51" s="86">
        <f t="shared" si="0"/>
        <v>0</v>
      </c>
    </row>
    <row r="52" spans="1:5">
      <c r="A52" s="382"/>
      <c r="B52" s="382"/>
      <c r="C52" s="85" t="s">
        <v>178</v>
      </c>
      <c r="D52" s="86">
        <f t="shared" si="0"/>
        <v>2</v>
      </c>
    </row>
    <row r="53" spans="1:5">
      <c r="A53" s="382"/>
      <c r="B53" s="382"/>
      <c r="C53" s="85" t="s">
        <v>171</v>
      </c>
      <c r="D53" s="86">
        <f t="shared" si="0"/>
        <v>0</v>
      </c>
    </row>
    <row r="54" spans="1:5">
      <c r="A54" s="382" t="s">
        <v>155</v>
      </c>
      <c r="B54" s="382">
        <f>SUMPRODUCT(--(LOOKUP(ROW($B$2:$B$23),ROW($B$2:$B$23)/($B$2:$B$23&lt;&gt;""),$B$2:$B$23)=A54))</f>
        <v>1</v>
      </c>
      <c r="C54" s="85" t="s">
        <v>172</v>
      </c>
      <c r="D54" s="86">
        <f t="shared" si="0"/>
        <v>0</v>
      </c>
      <c r="E54" s="3">
        <f>SUM(D54:D59)-B54</f>
        <v>0</v>
      </c>
    </row>
    <row r="55" spans="1:5">
      <c r="A55" s="382"/>
      <c r="B55" s="382"/>
      <c r="C55" s="85" t="s">
        <v>173</v>
      </c>
      <c r="D55" s="86">
        <f t="shared" si="0"/>
        <v>0</v>
      </c>
    </row>
    <row r="56" spans="1:5">
      <c r="A56" s="382"/>
      <c r="B56" s="382"/>
      <c r="C56" s="85" t="s">
        <v>174</v>
      </c>
      <c r="D56" s="86">
        <f t="shared" si="0"/>
        <v>0</v>
      </c>
    </row>
    <row r="57" spans="1:5">
      <c r="A57" s="382"/>
      <c r="B57" s="382"/>
      <c r="C57" s="85" t="s">
        <v>175</v>
      </c>
      <c r="D57" s="86">
        <f t="shared" si="0"/>
        <v>0</v>
      </c>
    </row>
    <row r="58" spans="1:5">
      <c r="A58" s="382"/>
      <c r="B58" s="382"/>
      <c r="C58" s="85" t="s">
        <v>176</v>
      </c>
      <c r="D58" s="86">
        <f t="shared" si="0"/>
        <v>0</v>
      </c>
    </row>
    <row r="59" spans="1:5">
      <c r="A59" s="382"/>
      <c r="B59" s="382"/>
      <c r="C59" s="85" t="s">
        <v>177</v>
      </c>
      <c r="D59" s="86">
        <f>SUMPRODUCT(--(LOOKUP(ROW($C$2:$C$23),ROW($C$2:$C$23)/($C$2:$C$23&lt;&gt;""),$C$2:$C$23)=C59))</f>
        <v>1</v>
      </c>
    </row>
    <row r="60" spans="1:5">
      <c r="B60" s="2">
        <f>SUM(B38:B59)</f>
        <v>21</v>
      </c>
      <c r="D60" s="2">
        <f>SUM(D38:D59)</f>
        <v>21</v>
      </c>
    </row>
  </sheetData>
  <mergeCells count="22">
    <mergeCell ref="B54:B59"/>
    <mergeCell ref="A37:B37"/>
    <mergeCell ref="C37:D37"/>
    <mergeCell ref="A38:A43"/>
    <mergeCell ref="A44:A48"/>
    <mergeCell ref="A49:A53"/>
    <mergeCell ref="A54:A59"/>
    <mergeCell ref="B38:B43"/>
    <mergeCell ref="B44:B48"/>
    <mergeCell ref="B49:B53"/>
    <mergeCell ref="C33:C36"/>
    <mergeCell ref="B21:B22"/>
    <mergeCell ref="G2:H2"/>
    <mergeCell ref="H29:I29"/>
    <mergeCell ref="H30:I30"/>
    <mergeCell ref="A1:M1"/>
    <mergeCell ref="C3:C5"/>
    <mergeCell ref="C7:C11"/>
    <mergeCell ref="C21:C22"/>
    <mergeCell ref="B3:B12"/>
    <mergeCell ref="C14:C20"/>
    <mergeCell ref="B13:B20"/>
  </mergeCells>
  <phoneticPr fontId="1" type="noConversion"/>
  <pageMargins left="0.19685039370078741" right="0.19685039370078741" top="0.39370078740157483" bottom="0.39370078740157483" header="0" footer="0"/>
  <pageSetup paperSize="9" scale="40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6F4E-0BFB-4F0A-8CF0-CEF74D4DCAA4}">
  <sheetPr>
    <pageSetUpPr fitToPage="1"/>
  </sheetPr>
  <dimension ref="A1:M57"/>
  <sheetViews>
    <sheetView view="pageBreakPreview" zoomScale="85" zoomScaleNormal="70" zoomScaleSheetLayoutView="85" workbookViewId="0">
      <selection activeCell="I12" sqref="I12"/>
    </sheetView>
  </sheetViews>
  <sheetFormatPr defaultColWidth="8.875" defaultRowHeight="16.5"/>
  <cols>
    <col min="1" max="1" width="8" style="1" customWidth="1"/>
    <col min="2" max="2" width="25.75" style="2" bestFit="1" customWidth="1"/>
    <col min="3" max="3" width="38.875" style="92" customWidth="1"/>
    <col min="4" max="4" width="11.75" style="2" customWidth="1"/>
    <col min="5" max="5" width="58.625" style="3" customWidth="1"/>
    <col min="6" max="9" width="10.625" style="2" customWidth="1"/>
    <col min="10" max="10" width="66.5" style="3" customWidth="1"/>
    <col min="11" max="11" width="19.125" style="2" customWidth="1"/>
    <col min="12" max="12" width="21" style="2" customWidth="1"/>
    <col min="13" max="13" width="34.75" style="1" customWidth="1"/>
    <col min="14" max="16384" width="8.875" style="1"/>
  </cols>
  <sheetData>
    <row r="1" spans="1:13" ht="69.75" customHeight="1" thickBot="1">
      <c r="A1" s="417" t="s">
        <v>149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</row>
    <row r="2" spans="1:13" ht="42.75" customHeight="1">
      <c r="A2" s="12" t="s">
        <v>15</v>
      </c>
      <c r="B2" s="25" t="s">
        <v>0</v>
      </c>
      <c r="C2" s="88" t="s">
        <v>13</v>
      </c>
      <c r="D2" s="13" t="s">
        <v>11</v>
      </c>
      <c r="E2" s="34" t="s">
        <v>1</v>
      </c>
      <c r="F2" s="38" t="s">
        <v>16</v>
      </c>
      <c r="G2" s="412" t="s">
        <v>12</v>
      </c>
      <c r="H2" s="412"/>
      <c r="I2" s="39" t="s">
        <v>47</v>
      </c>
      <c r="J2" s="39" t="s">
        <v>18</v>
      </c>
      <c r="K2" s="363" t="s">
        <v>17</v>
      </c>
      <c r="L2" s="40" t="s">
        <v>21</v>
      </c>
      <c r="M2" s="46" t="s">
        <v>19</v>
      </c>
    </row>
    <row r="3" spans="1:13" s="10" customFormat="1" ht="81" customHeight="1">
      <c r="A3" s="78" t="s">
        <v>14</v>
      </c>
      <c r="B3" s="418" t="str">
        <f>A35</f>
        <v>경영평가 "나"등급 이상</v>
      </c>
      <c r="C3" s="89" t="str">
        <f>C35</f>
        <v>엄정한 지휘체계 확립</v>
      </c>
      <c r="D3" s="27" t="s">
        <v>38</v>
      </c>
      <c r="E3" s="48" t="s">
        <v>74</v>
      </c>
      <c r="F3" s="41">
        <v>10</v>
      </c>
      <c r="G3" s="342" t="s">
        <v>443</v>
      </c>
      <c r="H3" s="293">
        <v>1</v>
      </c>
      <c r="I3" s="28">
        <v>5</v>
      </c>
      <c r="J3" s="310" t="s">
        <v>446</v>
      </c>
      <c r="K3" s="364" t="s">
        <v>469</v>
      </c>
      <c r="L3" s="47" t="s">
        <v>492</v>
      </c>
      <c r="M3" s="31" t="s">
        <v>214</v>
      </c>
    </row>
    <row r="4" spans="1:13" s="10" customFormat="1">
      <c r="A4" s="337" t="s">
        <v>20</v>
      </c>
      <c r="B4" s="419"/>
      <c r="C4" s="421" t="str">
        <f>C36</f>
        <v>중장기경영 전략계획 수립</v>
      </c>
      <c r="D4" s="4" t="s">
        <v>38</v>
      </c>
      <c r="E4" s="48" t="s">
        <v>136</v>
      </c>
      <c r="F4" s="41">
        <v>5</v>
      </c>
      <c r="G4" s="342" t="s">
        <v>444</v>
      </c>
      <c r="H4" s="293">
        <v>1</v>
      </c>
      <c r="I4" s="28">
        <v>1</v>
      </c>
      <c r="J4" s="8" t="s">
        <v>447</v>
      </c>
      <c r="K4" s="307"/>
      <c r="L4" s="58" t="s">
        <v>493</v>
      </c>
      <c r="M4" s="52" t="s">
        <v>215</v>
      </c>
    </row>
    <row r="5" spans="1:13">
      <c r="A5" s="337" t="s">
        <v>2</v>
      </c>
      <c r="B5" s="419"/>
      <c r="C5" s="422"/>
      <c r="D5" s="4" t="s">
        <v>39</v>
      </c>
      <c r="E5" s="48" t="s">
        <v>75</v>
      </c>
      <c r="F5" s="41">
        <v>10</v>
      </c>
      <c r="G5" s="292" t="s">
        <v>443</v>
      </c>
      <c r="H5" s="293">
        <v>0.5</v>
      </c>
      <c r="I5" s="28">
        <v>4</v>
      </c>
      <c r="J5" s="310" t="s">
        <v>448</v>
      </c>
      <c r="K5" s="311"/>
      <c r="L5" s="47" t="s">
        <v>494</v>
      </c>
      <c r="M5" s="31" t="s">
        <v>215</v>
      </c>
    </row>
    <row r="6" spans="1:13">
      <c r="A6" s="337" t="s">
        <v>3</v>
      </c>
      <c r="B6" s="419"/>
      <c r="C6" s="423"/>
      <c r="D6" s="4" t="s">
        <v>39</v>
      </c>
      <c r="E6" s="51" t="s">
        <v>78</v>
      </c>
      <c r="F6" s="42">
        <v>10</v>
      </c>
      <c r="G6" s="292" t="s">
        <v>443</v>
      </c>
      <c r="H6" s="293">
        <v>0.5</v>
      </c>
      <c r="I6" s="28">
        <v>5</v>
      </c>
      <c r="J6" s="5" t="s">
        <v>449</v>
      </c>
      <c r="K6" s="358" t="s">
        <v>460</v>
      </c>
      <c r="L6" s="61" t="s">
        <v>495</v>
      </c>
      <c r="M6" s="55" t="s">
        <v>214</v>
      </c>
    </row>
    <row r="7" spans="1:13" s="6" customFormat="1" ht="16.5" customHeight="1">
      <c r="A7" s="337" t="s">
        <v>4</v>
      </c>
      <c r="B7" s="419"/>
      <c r="C7" s="421" t="str">
        <f>C37</f>
        <v>건전재정운영 예산집행 투명성</v>
      </c>
      <c r="D7" s="7" t="s">
        <v>38</v>
      </c>
      <c r="E7" s="49" t="s">
        <v>76</v>
      </c>
      <c r="F7" s="41">
        <v>10</v>
      </c>
      <c r="G7" s="234" t="s">
        <v>213</v>
      </c>
      <c r="H7" s="293">
        <v>0.5</v>
      </c>
      <c r="I7" s="28">
        <v>5</v>
      </c>
      <c r="J7" s="308" t="s">
        <v>450</v>
      </c>
      <c r="K7" s="359" t="s">
        <v>461</v>
      </c>
      <c r="L7" s="59" t="s">
        <v>496</v>
      </c>
      <c r="M7" s="53" t="s">
        <v>216</v>
      </c>
    </row>
    <row r="8" spans="1:13" s="6" customFormat="1">
      <c r="A8" s="337" t="s">
        <v>5</v>
      </c>
      <c r="B8" s="419"/>
      <c r="C8" s="423"/>
      <c r="D8" s="7" t="s">
        <v>38</v>
      </c>
      <c r="E8" s="50" t="s">
        <v>45</v>
      </c>
      <c r="F8" s="41">
        <v>10</v>
      </c>
      <c r="G8" s="234" t="s">
        <v>60</v>
      </c>
      <c r="H8" s="293">
        <v>1</v>
      </c>
      <c r="I8" s="28">
        <v>10</v>
      </c>
      <c r="J8" s="9" t="s">
        <v>451</v>
      </c>
      <c r="K8" s="360" t="s">
        <v>462</v>
      </c>
      <c r="L8" s="60" t="s">
        <v>497</v>
      </c>
      <c r="M8" s="53" t="s">
        <v>216</v>
      </c>
    </row>
    <row r="9" spans="1:13">
      <c r="A9" s="337" t="s">
        <v>6</v>
      </c>
      <c r="B9" s="420"/>
      <c r="C9" s="90" t="str">
        <f>C40</f>
        <v xml:space="preserve"> 지역사회공헌 확대</v>
      </c>
      <c r="D9" s="16" t="s">
        <v>38</v>
      </c>
      <c r="E9" s="30" t="s">
        <v>82</v>
      </c>
      <c r="F9" s="44">
        <v>5</v>
      </c>
      <c r="G9" s="292" t="s">
        <v>60</v>
      </c>
      <c r="H9" s="233">
        <v>1</v>
      </c>
      <c r="I9" s="28">
        <v>5</v>
      </c>
      <c r="J9" s="15" t="s">
        <v>452</v>
      </c>
      <c r="K9" s="361" t="s">
        <v>463</v>
      </c>
      <c r="L9" s="63" t="s">
        <v>498</v>
      </c>
      <c r="M9" s="53" t="s">
        <v>216</v>
      </c>
    </row>
    <row r="10" spans="1:13" s="6" customFormat="1">
      <c r="A10" s="337" t="s">
        <v>7</v>
      </c>
      <c r="B10" s="418" t="str">
        <f>A41</f>
        <v>노사화합 청렴도 우수 등급</v>
      </c>
      <c r="C10" s="421" t="str">
        <f>C41</f>
        <v xml:space="preserve"> 합리적인 조직관리</v>
      </c>
      <c r="D10" s="303" t="s">
        <v>39</v>
      </c>
      <c r="E10" s="331" t="s">
        <v>77</v>
      </c>
      <c r="F10" s="321">
        <v>10</v>
      </c>
      <c r="G10" s="234" t="s">
        <v>59</v>
      </c>
      <c r="H10" s="293">
        <v>0.5</v>
      </c>
      <c r="I10" s="28">
        <v>6</v>
      </c>
      <c r="J10" s="22" t="s">
        <v>454</v>
      </c>
      <c r="K10" s="360" t="s">
        <v>464</v>
      </c>
      <c r="L10" s="60" t="s">
        <v>499</v>
      </c>
      <c r="M10" s="6" t="s">
        <v>468</v>
      </c>
    </row>
    <row r="11" spans="1:13">
      <c r="A11" s="337" t="s">
        <v>22</v>
      </c>
      <c r="B11" s="419"/>
      <c r="C11" s="423"/>
      <c r="D11" s="4" t="s">
        <v>39</v>
      </c>
      <c r="E11" s="51" t="s">
        <v>137</v>
      </c>
      <c r="F11" s="42">
        <v>10</v>
      </c>
      <c r="G11" s="292" t="s">
        <v>443</v>
      </c>
      <c r="H11" s="293">
        <v>0.8</v>
      </c>
      <c r="I11" s="28">
        <v>8</v>
      </c>
      <c r="J11" s="14" t="s">
        <v>455</v>
      </c>
      <c r="K11" s="358" t="s">
        <v>465</v>
      </c>
      <c r="L11" s="62"/>
      <c r="M11" s="54" t="s">
        <v>457</v>
      </c>
    </row>
    <row r="12" spans="1:13" ht="16.5" customHeight="1">
      <c r="A12" s="337" t="s">
        <v>9</v>
      </c>
      <c r="B12" s="419"/>
      <c r="C12" s="421" t="str">
        <f>C43</f>
        <v xml:space="preserve"> 노사·노노간 상생문화 구축</v>
      </c>
      <c r="D12" s="344" t="s">
        <v>38</v>
      </c>
      <c r="E12" s="345" t="s">
        <v>79</v>
      </c>
      <c r="F12" s="139">
        <v>5</v>
      </c>
      <c r="G12" s="344" t="s">
        <v>59</v>
      </c>
      <c r="H12" s="293">
        <v>0</v>
      </c>
      <c r="I12" s="132"/>
      <c r="J12" s="346"/>
      <c r="K12" s="347"/>
      <c r="L12" s="348"/>
      <c r="M12" s="55" t="s">
        <v>458</v>
      </c>
    </row>
    <row r="13" spans="1:13">
      <c r="A13" s="337" t="s">
        <v>10</v>
      </c>
      <c r="B13" s="419"/>
      <c r="C13" s="422"/>
      <c r="D13" s="349" t="s">
        <v>183</v>
      </c>
      <c r="E13" s="350" t="s">
        <v>217</v>
      </c>
      <c r="F13" s="351">
        <v>15</v>
      </c>
      <c r="G13" s="349" t="s">
        <v>59</v>
      </c>
      <c r="H13" s="293">
        <v>0.66</v>
      </c>
      <c r="I13" s="132">
        <v>11</v>
      </c>
      <c r="J13" s="352" t="s">
        <v>218</v>
      </c>
      <c r="K13" s="349" t="s">
        <v>219</v>
      </c>
      <c r="L13" s="353" t="s">
        <v>220</v>
      </c>
      <c r="M13" s="55" t="s">
        <v>458</v>
      </c>
    </row>
    <row r="14" spans="1:13" ht="33">
      <c r="A14" s="337" t="s">
        <v>25</v>
      </c>
      <c r="B14" s="420"/>
      <c r="C14" s="423"/>
      <c r="D14" s="141" t="s">
        <v>38</v>
      </c>
      <c r="E14" s="354" t="s">
        <v>80</v>
      </c>
      <c r="F14" s="140">
        <v>10</v>
      </c>
      <c r="G14" s="344" t="s">
        <v>60</v>
      </c>
      <c r="H14" s="293">
        <v>1</v>
      </c>
      <c r="I14" s="132">
        <v>10</v>
      </c>
      <c r="J14" s="355" t="s">
        <v>221</v>
      </c>
      <c r="K14" s="356" t="s">
        <v>222</v>
      </c>
      <c r="L14" s="357" t="s">
        <v>223</v>
      </c>
      <c r="M14" s="343" t="s">
        <v>458</v>
      </c>
    </row>
    <row r="15" spans="1:13" ht="16.5" customHeight="1">
      <c r="A15" s="337" t="s">
        <v>24</v>
      </c>
      <c r="B15" s="27" t="str">
        <f>A46</f>
        <v>안전사고 제로(ZERO)</v>
      </c>
      <c r="C15" s="89" t="str">
        <f>C46</f>
        <v xml:space="preserve"> 선제적·체계적 시설관리 운영</v>
      </c>
      <c r="D15" s="141" t="s">
        <v>38</v>
      </c>
      <c r="E15" s="354" t="s">
        <v>456</v>
      </c>
      <c r="F15" s="140">
        <v>5</v>
      </c>
      <c r="G15" s="292" t="s">
        <v>445</v>
      </c>
      <c r="H15" s="233">
        <v>0.5</v>
      </c>
      <c r="I15" s="132">
        <v>2</v>
      </c>
      <c r="J15" s="355" t="s">
        <v>467</v>
      </c>
      <c r="K15" s="361" t="s">
        <v>466</v>
      </c>
      <c r="L15" s="357"/>
      <c r="M15" s="57" t="s">
        <v>457</v>
      </c>
    </row>
    <row r="16" spans="1:13" ht="17.25" customHeight="1" thickBot="1">
      <c r="A16" s="337" t="s">
        <v>23</v>
      </c>
      <c r="B16" s="341" t="str">
        <f>A51</f>
        <v>고객만족도 90% 이상</v>
      </c>
      <c r="C16" s="163" t="str">
        <f>C54</f>
        <v xml:space="preserve"> 다양한 시민참여 프로그램 운영</v>
      </c>
      <c r="D16" s="16" t="s">
        <v>38</v>
      </c>
      <c r="E16" s="318" t="s">
        <v>81</v>
      </c>
      <c r="F16" s="326">
        <v>5</v>
      </c>
      <c r="G16" s="292" t="s">
        <v>59</v>
      </c>
      <c r="H16" s="335">
        <v>1</v>
      </c>
      <c r="I16" s="328">
        <v>5</v>
      </c>
      <c r="J16" s="15" t="s">
        <v>453</v>
      </c>
      <c r="K16" s="16"/>
      <c r="L16" s="63"/>
      <c r="M16" s="57" t="s">
        <v>459</v>
      </c>
    </row>
    <row r="20" spans="3:13">
      <c r="C20" s="91"/>
      <c r="D20" s="20"/>
      <c r="E20" s="21"/>
      <c r="J20" s="21"/>
      <c r="K20" s="20"/>
      <c r="L20" s="20"/>
      <c r="M20" s="19"/>
    </row>
    <row r="21" spans="3:13">
      <c r="C21" s="91"/>
      <c r="D21" s="20"/>
      <c r="E21" s="21"/>
      <c r="F21" s="16" t="s">
        <v>46</v>
      </c>
      <c r="G21" s="16" t="s">
        <v>47</v>
      </c>
      <c r="H21" s="413" t="s">
        <v>48</v>
      </c>
      <c r="I21" s="414"/>
      <c r="J21" s="21"/>
      <c r="K21" s="20"/>
      <c r="L21" s="20"/>
      <c r="M21" s="19"/>
    </row>
    <row r="22" spans="3:13">
      <c r="C22" s="91"/>
      <c r="D22" s="20"/>
      <c r="E22" s="21"/>
      <c r="F22" s="16">
        <f>SUM(F3:F16)</f>
        <v>120</v>
      </c>
      <c r="G22" s="29">
        <f>SUM(I3:I16)</f>
        <v>77</v>
      </c>
      <c r="H22" s="415">
        <f>G22/F22*100</f>
        <v>64.166666666666671</v>
      </c>
      <c r="I22" s="416"/>
      <c r="J22" s="362"/>
      <c r="K22" s="20"/>
      <c r="L22" s="20"/>
      <c r="M22" s="19"/>
    </row>
    <row r="23" spans="3:13">
      <c r="C23" s="91"/>
      <c r="D23" s="20"/>
      <c r="E23" s="21"/>
      <c r="H23" s="297">
        <f>AVERAGE(H3:H16)</f>
        <v>0.71142857142857152</v>
      </c>
      <c r="J23" s="21"/>
      <c r="K23" s="20"/>
      <c r="L23" s="20"/>
      <c r="M23" s="19"/>
    </row>
    <row r="24" spans="3:13">
      <c r="C24" s="91"/>
      <c r="D24" s="20"/>
      <c r="E24" s="21"/>
      <c r="J24" s="21"/>
      <c r="K24" s="20"/>
      <c r="L24" s="20"/>
      <c r="M24" s="19"/>
    </row>
    <row r="30" spans="3:13">
      <c r="C30" s="410" t="s">
        <v>188</v>
      </c>
      <c r="D30" s="26" t="s">
        <v>38</v>
      </c>
    </row>
    <row r="31" spans="3:13">
      <c r="C31" s="410"/>
      <c r="D31" s="26">
        <f>COUNTIF(D3:D29,$D$30)</f>
        <v>10</v>
      </c>
    </row>
    <row r="32" spans="3:13">
      <c r="C32" s="410"/>
      <c r="D32" s="26" t="s">
        <v>187</v>
      </c>
    </row>
    <row r="33" spans="1:5">
      <c r="C33" s="411"/>
      <c r="D33" s="26">
        <f>COUNTIF(D3:D31,$D$32)</f>
        <v>4</v>
      </c>
    </row>
    <row r="34" spans="1:5" ht="16.5" customHeight="1">
      <c r="A34" s="381" t="s">
        <v>63</v>
      </c>
      <c r="B34" s="381"/>
      <c r="C34" s="381" t="s">
        <v>186</v>
      </c>
      <c r="D34" s="381"/>
    </row>
    <row r="35" spans="1:5">
      <c r="A35" s="382" t="s">
        <v>153</v>
      </c>
      <c r="B35" s="382">
        <f>SUMPRODUCT(--(LOOKUP(ROW($B$2:$B$19),ROW($B$2:$B$19)/($B$2:$B$19&lt;&gt;""),$B$2:$B$19)=A35))</f>
        <v>7</v>
      </c>
      <c r="C35" s="85" t="s">
        <v>157</v>
      </c>
      <c r="D35" s="86">
        <f t="shared" ref="D35:D56" si="0">SUMPRODUCT(--(LOOKUP(ROW($C$2:$C$16),ROW($C$2:$C$16)/($C$2:$C$16&lt;&gt;""),$C$2:$C$16)=C35))</f>
        <v>1</v>
      </c>
      <c r="E35" s="239">
        <f>SUM(D35:D40)-B35</f>
        <v>0</v>
      </c>
    </row>
    <row r="36" spans="1:5">
      <c r="A36" s="382"/>
      <c r="B36" s="382"/>
      <c r="C36" s="85" t="s">
        <v>158</v>
      </c>
      <c r="D36" s="86">
        <f t="shared" si="0"/>
        <v>3</v>
      </c>
      <c r="E36" s="239"/>
    </row>
    <row r="37" spans="1:5">
      <c r="A37" s="382"/>
      <c r="B37" s="382"/>
      <c r="C37" s="85" t="s">
        <v>159</v>
      </c>
      <c r="D37" s="86">
        <f t="shared" si="0"/>
        <v>2</v>
      </c>
      <c r="E37" s="239"/>
    </row>
    <row r="38" spans="1:5">
      <c r="A38" s="382"/>
      <c r="B38" s="382"/>
      <c r="C38" s="85" t="s">
        <v>160</v>
      </c>
      <c r="D38" s="86">
        <f t="shared" si="0"/>
        <v>0</v>
      </c>
      <c r="E38" s="239"/>
    </row>
    <row r="39" spans="1:5">
      <c r="A39" s="382"/>
      <c r="B39" s="382"/>
      <c r="C39" s="85" t="s">
        <v>161</v>
      </c>
      <c r="D39" s="86">
        <f t="shared" si="0"/>
        <v>0</v>
      </c>
      <c r="E39" s="239"/>
    </row>
    <row r="40" spans="1:5" ht="16.5" customHeight="1">
      <c r="A40" s="382"/>
      <c r="B40" s="382"/>
      <c r="C40" s="85" t="s">
        <v>162</v>
      </c>
      <c r="D40" s="86">
        <f t="shared" si="0"/>
        <v>1</v>
      </c>
      <c r="E40" s="239"/>
    </row>
    <row r="41" spans="1:5">
      <c r="A41" s="382" t="s">
        <v>154</v>
      </c>
      <c r="B41" s="382">
        <f>SUMPRODUCT(--(LOOKUP(ROW($B$2:$B$19),ROW($B$2:$B$19)/($B$2:$B$19&lt;&gt;""),$B$2:$B$19)=A41))</f>
        <v>5</v>
      </c>
      <c r="C41" s="85" t="s">
        <v>163</v>
      </c>
      <c r="D41" s="86">
        <f t="shared" si="0"/>
        <v>2</v>
      </c>
      <c r="E41" s="239">
        <f>SUM(D41:D45)-B41</f>
        <v>0</v>
      </c>
    </row>
    <row r="42" spans="1:5">
      <c r="A42" s="382"/>
      <c r="B42" s="382"/>
      <c r="C42" s="85" t="s">
        <v>164</v>
      </c>
      <c r="D42" s="86">
        <f t="shared" si="0"/>
        <v>0</v>
      </c>
      <c r="E42" s="239"/>
    </row>
    <row r="43" spans="1:5">
      <c r="A43" s="382"/>
      <c r="B43" s="382"/>
      <c r="C43" s="85" t="s">
        <v>165</v>
      </c>
      <c r="D43" s="86">
        <f t="shared" si="0"/>
        <v>3</v>
      </c>
      <c r="E43" s="239"/>
    </row>
    <row r="44" spans="1:5">
      <c r="A44" s="382"/>
      <c r="B44" s="382"/>
      <c r="C44" s="85" t="s">
        <v>166</v>
      </c>
      <c r="D44" s="86">
        <f t="shared" si="0"/>
        <v>0</v>
      </c>
      <c r="E44" s="239"/>
    </row>
    <row r="45" spans="1:5" ht="16.5" customHeight="1">
      <c r="A45" s="382"/>
      <c r="B45" s="382"/>
      <c r="C45" s="85" t="s">
        <v>167</v>
      </c>
      <c r="D45" s="86">
        <f t="shared" si="0"/>
        <v>0</v>
      </c>
      <c r="E45" s="239"/>
    </row>
    <row r="46" spans="1:5">
      <c r="A46" s="382" t="s">
        <v>156</v>
      </c>
      <c r="B46" s="382">
        <f>SUMPRODUCT(--(LOOKUP(ROW($B$2:$B$19),ROW($B$2:$B$19)/($B$2:$B$19&lt;&gt;""),$B$2:$B$19)=A46))</f>
        <v>1</v>
      </c>
      <c r="C46" s="85" t="s">
        <v>168</v>
      </c>
      <c r="D46" s="86">
        <f t="shared" si="0"/>
        <v>1</v>
      </c>
      <c r="E46" s="3">
        <f>SUM(D46:D50)-B46</f>
        <v>0</v>
      </c>
    </row>
    <row r="47" spans="1:5">
      <c r="A47" s="382"/>
      <c r="B47" s="382"/>
      <c r="C47" s="85" t="s">
        <v>169</v>
      </c>
      <c r="D47" s="86">
        <f t="shared" si="0"/>
        <v>0</v>
      </c>
    </row>
    <row r="48" spans="1:5">
      <c r="A48" s="382"/>
      <c r="B48" s="382"/>
      <c r="C48" s="85" t="s">
        <v>170</v>
      </c>
      <c r="D48" s="86">
        <f t="shared" si="0"/>
        <v>0</v>
      </c>
    </row>
    <row r="49" spans="1:5">
      <c r="A49" s="382"/>
      <c r="B49" s="382"/>
      <c r="C49" s="85" t="s">
        <v>178</v>
      </c>
      <c r="D49" s="86">
        <f t="shared" si="0"/>
        <v>0</v>
      </c>
    </row>
    <row r="50" spans="1:5" ht="16.5" customHeight="1">
      <c r="A50" s="382"/>
      <c r="B50" s="382"/>
      <c r="C50" s="85" t="s">
        <v>171</v>
      </c>
      <c r="D50" s="86">
        <f t="shared" si="0"/>
        <v>0</v>
      </c>
    </row>
    <row r="51" spans="1:5">
      <c r="A51" s="382" t="s">
        <v>155</v>
      </c>
      <c r="B51" s="382">
        <f>SUMPRODUCT(--(LOOKUP(ROW($B$2:$B$16),ROW($B$2:$B$16)/($B$2:$B$16&lt;&gt;""),$B$2:$B$16)=A51))</f>
        <v>1</v>
      </c>
      <c r="C51" s="85" t="s">
        <v>172</v>
      </c>
      <c r="D51" s="86">
        <f t="shared" si="0"/>
        <v>0</v>
      </c>
      <c r="E51" s="3">
        <f>SUM(D51:D56)-B51</f>
        <v>0</v>
      </c>
    </row>
    <row r="52" spans="1:5">
      <c r="A52" s="382"/>
      <c r="B52" s="382"/>
      <c r="C52" s="85" t="s">
        <v>173</v>
      </c>
      <c r="D52" s="86">
        <f t="shared" si="0"/>
        <v>0</v>
      </c>
    </row>
    <row r="53" spans="1:5">
      <c r="A53" s="382"/>
      <c r="B53" s="382"/>
      <c r="C53" s="85" t="s">
        <v>174</v>
      </c>
      <c r="D53" s="86">
        <f t="shared" si="0"/>
        <v>0</v>
      </c>
    </row>
    <row r="54" spans="1:5">
      <c r="A54" s="382"/>
      <c r="B54" s="382"/>
      <c r="C54" s="85" t="s">
        <v>175</v>
      </c>
      <c r="D54" s="86">
        <f t="shared" si="0"/>
        <v>1</v>
      </c>
    </row>
    <row r="55" spans="1:5">
      <c r="A55" s="382"/>
      <c r="B55" s="382"/>
      <c r="C55" s="85" t="s">
        <v>176</v>
      </c>
      <c r="D55" s="86">
        <f t="shared" si="0"/>
        <v>0</v>
      </c>
    </row>
    <row r="56" spans="1:5">
      <c r="A56" s="382"/>
      <c r="B56" s="382"/>
      <c r="C56" s="85" t="s">
        <v>177</v>
      </c>
      <c r="D56" s="86">
        <f t="shared" si="0"/>
        <v>0</v>
      </c>
    </row>
    <row r="57" spans="1:5">
      <c r="B57" s="2">
        <f>SUM(B35:B56)</f>
        <v>14</v>
      </c>
      <c r="C57" s="2"/>
      <c r="D57" s="2">
        <f>SUM(D35:D56)</f>
        <v>14</v>
      </c>
    </row>
  </sheetData>
  <mergeCells count="21">
    <mergeCell ref="A41:A45"/>
    <mergeCell ref="B41:B45"/>
    <mergeCell ref="A46:A50"/>
    <mergeCell ref="B46:B50"/>
    <mergeCell ref="A51:A56"/>
    <mergeCell ref="B51:B56"/>
    <mergeCell ref="C30:C33"/>
    <mergeCell ref="A34:B34"/>
    <mergeCell ref="C34:D34"/>
    <mergeCell ref="A35:A40"/>
    <mergeCell ref="B35:B40"/>
    <mergeCell ref="A1:M1"/>
    <mergeCell ref="G2:H2"/>
    <mergeCell ref="B3:B9"/>
    <mergeCell ref="B10:B14"/>
    <mergeCell ref="H22:I22"/>
    <mergeCell ref="H21:I21"/>
    <mergeCell ref="C12:C14"/>
    <mergeCell ref="C4:C6"/>
    <mergeCell ref="C7:C8"/>
    <mergeCell ref="C10:C11"/>
  </mergeCells>
  <phoneticPr fontId="1" type="noConversion"/>
  <hyperlinks>
    <hyperlink ref="K6" r:id="rId1" location="/popup?MicroModuleCode=ea&amp;diKeyCode=73997&amp;callComp=UCAP001" xr:uid="{FE9E30DA-C673-467F-9173-BCF5BEE69CDE}"/>
    <hyperlink ref="K7" r:id="rId2" location="/popup?MicroModuleCode=ea&amp;diKeyCode=69460&amp;callComp=UCAP001" xr:uid="{9A01D859-40C3-4B08-8222-350D65A41C7B}"/>
    <hyperlink ref="K8" r:id="rId3" location="/popup?MicroModuleCode=ea&amp;diKeyCode=74932&amp;callComp=UCAP001" xr:uid="{AA0E3397-CFB6-4E5C-B5A6-3CC481B2DD42}"/>
    <hyperlink ref="K9" r:id="rId4" location="/popup?MicroModuleCode=ea&amp;diKeyCode=70390&amp;callComp=UCAP001" xr:uid="{CF8F5459-24FF-4BE6-8926-16D9B0135097}"/>
    <hyperlink ref="K10" r:id="rId5" location="/popup?MicroModuleCode=ea&amp;diKeyCode=69261&amp;callComp=UCAP001" xr:uid="{398042AA-00E9-44EC-AE15-9B6DEDEED5F6}"/>
    <hyperlink ref="K11" r:id="rId6" location="/popup?MicroModuleCode=ea&amp;diKeyCode=75994&amp;callComp=UCAP001" xr:uid="{A9FDD2E4-B5EA-436D-AA1A-E2951D9886DE}"/>
    <hyperlink ref="K15" r:id="rId7" location="/popup?MicroModuleCode=ea&amp;diKeyCode=66233&amp;callComp=UCAP001" xr:uid="{ACFC2325-453B-44EE-B9CD-A0D5D9C1BB03}"/>
  </hyperlinks>
  <pageMargins left="0.19685039370078741" right="0.19685039370078741" top="0.39370078740157483" bottom="0.39370078740157483" header="0" footer="0"/>
  <pageSetup paperSize="9" scale="40" fitToHeight="0" orientation="landscape" r:id="rId8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FA6D-D93A-4008-A00F-23F4A3E3CFB4}">
  <sheetPr>
    <pageSetUpPr fitToPage="1"/>
  </sheetPr>
  <dimension ref="A1:M58"/>
  <sheetViews>
    <sheetView view="pageBreakPreview" zoomScale="70" zoomScaleNormal="70" zoomScaleSheetLayoutView="70" workbookViewId="0">
      <selection activeCell="F9" sqref="F9"/>
    </sheetView>
  </sheetViews>
  <sheetFormatPr defaultColWidth="8.875" defaultRowHeight="16.5"/>
  <cols>
    <col min="1" max="1" width="8" style="1" customWidth="1"/>
    <col min="2" max="2" width="27.25" style="2" customWidth="1"/>
    <col min="3" max="3" width="41.5" style="2" customWidth="1"/>
    <col min="4" max="4" width="11.75" style="2" customWidth="1"/>
    <col min="5" max="5" width="58.625" style="3" customWidth="1"/>
    <col min="6" max="9" width="10.625" style="2" customWidth="1"/>
    <col min="10" max="10" width="66.5" style="3" customWidth="1"/>
    <col min="11" max="11" width="34.25" style="2" bestFit="1" customWidth="1"/>
    <col min="12" max="12" width="21" style="2" customWidth="1"/>
    <col min="13" max="13" width="34.75" style="1" customWidth="1"/>
    <col min="14" max="16384" width="8.875" style="1"/>
  </cols>
  <sheetData>
    <row r="1" spans="1:13" ht="69.75" customHeight="1" thickBot="1">
      <c r="A1" s="406" t="s">
        <v>206</v>
      </c>
      <c r="B1" s="407"/>
      <c r="C1" s="407"/>
      <c r="D1" s="407"/>
      <c r="E1" s="407"/>
      <c r="F1" s="408"/>
      <c r="G1" s="408"/>
      <c r="H1" s="408"/>
      <c r="I1" s="408"/>
      <c r="J1" s="408"/>
      <c r="K1" s="408"/>
      <c r="L1" s="407"/>
      <c r="M1" s="407"/>
    </row>
    <row r="2" spans="1:13" ht="42.75" customHeight="1">
      <c r="A2" s="25" t="s">
        <v>15</v>
      </c>
      <c r="B2" s="25" t="s">
        <v>0</v>
      </c>
      <c r="C2" s="13" t="s">
        <v>13</v>
      </c>
      <c r="D2" s="13" t="s">
        <v>11</v>
      </c>
      <c r="E2" s="34" t="s">
        <v>1</v>
      </c>
      <c r="F2" s="38" t="s">
        <v>16</v>
      </c>
      <c r="G2" s="412" t="s">
        <v>12</v>
      </c>
      <c r="H2" s="412"/>
      <c r="I2" s="39" t="s">
        <v>47</v>
      </c>
      <c r="J2" s="39" t="s">
        <v>18</v>
      </c>
      <c r="K2" s="40" t="s">
        <v>17</v>
      </c>
      <c r="L2" s="36" t="s">
        <v>21</v>
      </c>
      <c r="M2" s="11" t="s">
        <v>19</v>
      </c>
    </row>
    <row r="3" spans="1:13" s="312" customFormat="1">
      <c r="A3" s="314" t="s">
        <v>14</v>
      </c>
      <c r="B3" s="424" t="str">
        <f>A36</f>
        <v>경영평가 "나"등급 이상</v>
      </c>
      <c r="C3" s="164" t="str">
        <f>C37</f>
        <v>중장기경영 전략계획 수립</v>
      </c>
      <c r="D3" s="164" t="s">
        <v>38</v>
      </c>
      <c r="E3" s="35" t="s">
        <v>131</v>
      </c>
      <c r="F3" s="321">
        <v>7</v>
      </c>
      <c r="G3" s="303" t="s">
        <v>59</v>
      </c>
      <c r="H3" s="340">
        <v>0.1</v>
      </c>
      <c r="I3" s="317">
        <f t="shared" ref="I3:I9" si="0">F3*H3</f>
        <v>0.70000000000000007</v>
      </c>
      <c r="J3" s="310" t="s">
        <v>425</v>
      </c>
      <c r="K3" s="322"/>
      <c r="L3" s="320"/>
      <c r="M3" s="310"/>
    </row>
    <row r="4" spans="1:13" s="312" customFormat="1" ht="74.25" customHeight="1">
      <c r="A4" s="314" t="s">
        <v>37</v>
      </c>
      <c r="B4" s="424"/>
      <c r="C4" s="424" t="str">
        <f>C36</f>
        <v>엄정한 지휘체계 확립</v>
      </c>
      <c r="D4" s="164" t="s">
        <v>38</v>
      </c>
      <c r="E4" s="35" t="s">
        <v>132</v>
      </c>
      <c r="F4" s="321">
        <v>7</v>
      </c>
      <c r="G4" s="303" t="s">
        <v>59</v>
      </c>
      <c r="H4" s="340">
        <v>0.4</v>
      </c>
      <c r="I4" s="317">
        <f t="shared" si="0"/>
        <v>2.8000000000000003</v>
      </c>
      <c r="J4" s="310" t="s">
        <v>426</v>
      </c>
      <c r="K4" s="322" t="s">
        <v>427</v>
      </c>
      <c r="L4" s="320" t="s">
        <v>428</v>
      </c>
      <c r="M4" s="310"/>
    </row>
    <row r="5" spans="1:13" s="312" customFormat="1">
      <c r="A5" s="314" t="s">
        <v>36</v>
      </c>
      <c r="B5" s="424"/>
      <c r="C5" s="424"/>
      <c r="D5" s="164" t="s">
        <v>38</v>
      </c>
      <c r="E5" s="35" t="s">
        <v>429</v>
      </c>
      <c r="F5" s="321">
        <v>7</v>
      </c>
      <c r="G5" s="305" t="s">
        <v>59</v>
      </c>
      <c r="H5" s="340">
        <v>0.1</v>
      </c>
      <c r="I5" s="317">
        <f t="shared" si="0"/>
        <v>0.70000000000000007</v>
      </c>
      <c r="J5" s="310" t="s">
        <v>430</v>
      </c>
      <c r="K5" s="322"/>
      <c r="L5" s="320"/>
      <c r="M5" s="310"/>
    </row>
    <row r="6" spans="1:13" s="312" customFormat="1" ht="70.5" customHeight="1">
      <c r="A6" s="314" t="s">
        <v>35</v>
      </c>
      <c r="B6" s="424"/>
      <c r="C6" s="164" t="str">
        <f>C39</f>
        <v>독립적 감사 기능 강화</v>
      </c>
      <c r="D6" s="164" t="s">
        <v>38</v>
      </c>
      <c r="E6" s="35" t="s">
        <v>133</v>
      </c>
      <c r="F6" s="321">
        <v>9</v>
      </c>
      <c r="G6" s="305" t="s">
        <v>59</v>
      </c>
      <c r="H6" s="340">
        <v>0.5</v>
      </c>
      <c r="I6" s="317">
        <f t="shared" si="0"/>
        <v>4.5</v>
      </c>
      <c r="J6" s="310" t="s">
        <v>431</v>
      </c>
      <c r="K6" s="322" t="s">
        <v>432</v>
      </c>
      <c r="L6" s="320" t="s">
        <v>433</v>
      </c>
      <c r="M6" s="310"/>
    </row>
    <row r="7" spans="1:13" s="312" customFormat="1">
      <c r="A7" s="314" t="s">
        <v>34</v>
      </c>
      <c r="B7" s="424" t="str">
        <f>A47</f>
        <v>안전사고 제로(ZERO)</v>
      </c>
      <c r="C7" s="424" t="str">
        <f>C51</f>
        <v xml:space="preserve"> 산업안전보건시스템 </v>
      </c>
      <c r="D7" s="164" t="s">
        <v>434</v>
      </c>
      <c r="E7" s="35" t="s">
        <v>435</v>
      </c>
      <c r="F7" s="321">
        <v>10</v>
      </c>
      <c r="G7" s="303" t="s">
        <v>59</v>
      </c>
      <c r="H7" s="304">
        <v>0.1</v>
      </c>
      <c r="I7" s="317">
        <f t="shared" si="0"/>
        <v>1</v>
      </c>
      <c r="J7" s="310" t="s">
        <v>436</v>
      </c>
      <c r="K7" s="322"/>
      <c r="L7" s="320"/>
      <c r="M7" s="310"/>
    </row>
    <row r="8" spans="1:13" s="301" customFormat="1">
      <c r="A8" s="314" t="s">
        <v>33</v>
      </c>
      <c r="B8" s="424"/>
      <c r="C8" s="424"/>
      <c r="D8" s="315" t="s">
        <v>437</v>
      </c>
      <c r="E8" s="339" t="s">
        <v>438</v>
      </c>
      <c r="F8" s="324">
        <v>10</v>
      </c>
      <c r="G8" s="313" t="s">
        <v>59</v>
      </c>
      <c r="H8" s="304">
        <v>0.1</v>
      </c>
      <c r="I8" s="317">
        <f t="shared" si="0"/>
        <v>1</v>
      </c>
      <c r="J8" s="316" t="s">
        <v>439</v>
      </c>
      <c r="K8" s="325"/>
      <c r="L8" s="320"/>
      <c r="M8" s="310"/>
    </row>
    <row r="9" spans="1:13" s="301" customFormat="1" ht="17.25" thickBot="1">
      <c r="A9" s="314" t="s">
        <v>440</v>
      </c>
      <c r="B9" s="424"/>
      <c r="C9" s="424"/>
      <c r="D9" s="315" t="s">
        <v>434</v>
      </c>
      <c r="E9" s="339" t="s">
        <v>441</v>
      </c>
      <c r="F9" s="326">
        <v>10</v>
      </c>
      <c r="G9" s="327" t="s">
        <v>59</v>
      </c>
      <c r="H9" s="334">
        <v>0.1</v>
      </c>
      <c r="I9" s="328">
        <f t="shared" si="0"/>
        <v>1</v>
      </c>
      <c r="J9" s="329" t="s">
        <v>442</v>
      </c>
      <c r="K9" s="330"/>
      <c r="L9" s="320"/>
      <c r="M9" s="310"/>
    </row>
    <row r="10" spans="1:13">
      <c r="C10" s="20"/>
      <c r="D10" s="20"/>
      <c r="E10" s="21"/>
      <c r="J10" s="21"/>
      <c r="K10" s="20"/>
      <c r="L10" s="20"/>
      <c r="M10" s="19"/>
    </row>
    <row r="11" spans="1:13">
      <c r="C11" s="20"/>
      <c r="D11" s="20"/>
      <c r="E11" s="21"/>
      <c r="J11" s="21"/>
      <c r="K11" s="20"/>
      <c r="L11" s="20"/>
      <c r="M11" s="19"/>
    </row>
    <row r="12" spans="1:13">
      <c r="C12" s="20"/>
      <c r="D12" s="20"/>
      <c r="E12" s="21"/>
      <c r="F12" s="16" t="s">
        <v>46</v>
      </c>
      <c r="G12" s="16" t="s">
        <v>47</v>
      </c>
      <c r="H12" s="413" t="s">
        <v>48</v>
      </c>
      <c r="I12" s="414"/>
      <c r="J12" s="21"/>
      <c r="K12" s="20"/>
      <c r="L12" s="20"/>
      <c r="M12" s="19"/>
    </row>
    <row r="13" spans="1:13">
      <c r="C13" s="20"/>
      <c r="D13" s="20"/>
      <c r="E13" s="21"/>
      <c r="F13" s="16">
        <f>SUM(F3:F9)</f>
        <v>60</v>
      </c>
      <c r="G13" s="29">
        <f>SUM(I3:I9)</f>
        <v>11.7</v>
      </c>
      <c r="H13" s="415">
        <f>G13/F13*100</f>
        <v>19.499999999999996</v>
      </c>
      <c r="I13" s="416"/>
      <c r="J13" s="21"/>
      <c r="K13" s="20"/>
      <c r="L13" s="20"/>
      <c r="M13" s="19"/>
    </row>
    <row r="14" spans="1:13">
      <c r="C14" s="20"/>
      <c r="D14" s="20"/>
      <c r="E14" s="21"/>
      <c r="H14" s="297">
        <f>AVERAGE(H3:H9)</f>
        <v>0.20000000000000004</v>
      </c>
      <c r="J14" s="21"/>
      <c r="K14" s="20"/>
      <c r="L14" s="20"/>
      <c r="M14" s="19"/>
    </row>
    <row r="15" spans="1:13">
      <c r="C15" s="20"/>
      <c r="D15" s="20"/>
      <c r="E15" s="21"/>
      <c r="J15" s="21"/>
      <c r="K15" s="20"/>
      <c r="L15" s="20"/>
      <c r="M15" s="19"/>
    </row>
    <row r="16" spans="1:13">
      <c r="C16" s="20"/>
      <c r="D16" s="20"/>
      <c r="E16" s="21"/>
      <c r="J16" s="21"/>
      <c r="K16" s="20"/>
      <c r="L16" s="20"/>
      <c r="M16" s="19"/>
    </row>
    <row r="17" spans="3:13">
      <c r="C17" s="20"/>
      <c r="D17" s="20"/>
      <c r="E17" s="21"/>
      <c r="J17" s="21"/>
      <c r="K17" s="20"/>
      <c r="L17" s="20"/>
      <c r="M17" s="19"/>
    </row>
    <row r="18" spans="3:13">
      <c r="C18" s="20"/>
      <c r="D18" s="20"/>
      <c r="E18" s="21"/>
      <c r="J18" s="21"/>
      <c r="K18" s="20"/>
      <c r="L18" s="20"/>
      <c r="M18" s="19"/>
    </row>
    <row r="19" spans="3:13">
      <c r="C19" s="20"/>
      <c r="D19" s="20"/>
      <c r="E19" s="21"/>
      <c r="J19" s="21"/>
      <c r="K19" s="20"/>
      <c r="L19" s="20"/>
      <c r="M19" s="19"/>
    </row>
    <row r="20" spans="3:13">
      <c r="C20" s="20"/>
      <c r="D20" s="20"/>
      <c r="E20" s="21"/>
      <c r="J20" s="21"/>
      <c r="K20" s="20"/>
      <c r="L20" s="20"/>
      <c r="M20" s="19"/>
    </row>
    <row r="21" spans="3:13">
      <c r="C21" s="20"/>
      <c r="D21" s="20"/>
      <c r="E21" s="21"/>
      <c r="J21" s="21"/>
      <c r="K21" s="20"/>
      <c r="L21" s="20"/>
      <c r="M21" s="19"/>
    </row>
    <row r="22" spans="3:13">
      <c r="C22" s="20"/>
      <c r="D22" s="20"/>
      <c r="E22" s="21"/>
      <c r="J22" s="21"/>
      <c r="K22" s="20"/>
      <c r="L22" s="20"/>
      <c r="M22" s="19"/>
    </row>
    <row r="23" spans="3:13">
      <c r="C23" s="20"/>
      <c r="D23" s="20"/>
      <c r="E23" s="21"/>
      <c r="J23" s="21"/>
      <c r="K23" s="20"/>
      <c r="L23" s="20"/>
      <c r="M23" s="19"/>
    </row>
    <row r="24" spans="3:13">
      <c r="C24" s="20"/>
      <c r="D24" s="20"/>
      <c r="E24" s="21"/>
      <c r="J24" s="21"/>
      <c r="K24" s="20"/>
      <c r="L24" s="20"/>
      <c r="M24" s="19"/>
    </row>
    <row r="25" spans="3:13">
      <c r="C25" s="20"/>
      <c r="D25" s="20"/>
      <c r="E25" s="21"/>
      <c r="J25" s="21"/>
      <c r="K25" s="20"/>
      <c r="L25" s="20"/>
      <c r="M25" s="19"/>
    </row>
    <row r="26" spans="3:13">
      <c r="C26" s="20"/>
      <c r="D26" s="20"/>
      <c r="E26" s="21"/>
      <c r="J26" s="21"/>
      <c r="K26" s="20"/>
      <c r="L26" s="20"/>
      <c r="M26" s="19"/>
    </row>
    <row r="27" spans="3:13">
      <c r="C27" s="20"/>
      <c r="D27" s="20"/>
      <c r="E27" s="21"/>
      <c r="J27" s="21"/>
      <c r="K27" s="20"/>
      <c r="L27" s="20"/>
      <c r="M27" s="19"/>
    </row>
    <row r="28" spans="3:13">
      <c r="C28" s="20"/>
      <c r="D28" s="20"/>
      <c r="E28" s="21"/>
      <c r="J28" s="21"/>
      <c r="K28" s="20"/>
      <c r="L28" s="20"/>
      <c r="M28" s="19"/>
    </row>
    <row r="29" spans="3:13">
      <c r="C29" s="20"/>
      <c r="D29" s="20"/>
      <c r="E29" s="21"/>
      <c r="J29" s="21"/>
      <c r="K29" s="20"/>
      <c r="L29" s="20"/>
      <c r="M29" s="19"/>
    </row>
    <row r="30" spans="3:13">
      <c r="C30" s="92"/>
      <c r="E30" s="21"/>
      <c r="J30" s="21"/>
      <c r="K30" s="20"/>
      <c r="L30" s="20"/>
      <c r="M30" s="19"/>
    </row>
    <row r="31" spans="3:13">
      <c r="C31" s="410" t="s">
        <v>188</v>
      </c>
      <c r="D31" s="26" t="s">
        <v>38</v>
      </c>
      <c r="E31" s="21"/>
      <c r="J31" s="21"/>
      <c r="K31" s="20"/>
      <c r="L31" s="20"/>
      <c r="M31" s="19"/>
    </row>
    <row r="32" spans="3:13">
      <c r="C32" s="410"/>
      <c r="D32" s="26">
        <f>COUNTIF(D3:D30,$D$31)</f>
        <v>4</v>
      </c>
    </row>
    <row r="33" spans="1:5">
      <c r="C33" s="410"/>
      <c r="D33" s="26" t="s">
        <v>187</v>
      </c>
    </row>
    <row r="34" spans="1:5">
      <c r="C34" s="411"/>
      <c r="D34" s="26">
        <f>COUNTIF(D3:D32,$D$33)</f>
        <v>0</v>
      </c>
    </row>
    <row r="35" spans="1:5">
      <c r="A35" s="381" t="s">
        <v>63</v>
      </c>
      <c r="B35" s="381"/>
      <c r="C35" s="381" t="s">
        <v>186</v>
      </c>
      <c r="D35" s="381"/>
    </row>
    <row r="36" spans="1:5" ht="16.5" customHeight="1">
      <c r="A36" s="382" t="s">
        <v>153</v>
      </c>
      <c r="B36" s="382">
        <f>SUMPRODUCT(--(LOOKUP(ROW($B$2:$B$20),ROW($B$2:$B$20)/($B$2:$B$20&lt;&gt;""),$B$2:$B$20)=A36))</f>
        <v>4</v>
      </c>
      <c r="C36" s="85" t="s">
        <v>157</v>
      </c>
      <c r="D36" s="86">
        <f t="shared" ref="D36:D57" si="1">SUMPRODUCT(--(LOOKUP(ROW($C$2:$C$9),ROW($C$2:$C$9)/($C$2:$C$9&lt;&gt;""),$C$2:$C$9)=C36))</f>
        <v>2</v>
      </c>
      <c r="E36" s="239">
        <f>SUM(D36:D41)-B36</f>
        <v>0</v>
      </c>
    </row>
    <row r="37" spans="1:5">
      <c r="A37" s="382"/>
      <c r="B37" s="382"/>
      <c r="C37" s="85" t="s">
        <v>158</v>
      </c>
      <c r="D37" s="86">
        <f t="shared" si="1"/>
        <v>1</v>
      </c>
      <c r="E37" s="239"/>
    </row>
    <row r="38" spans="1:5">
      <c r="A38" s="382"/>
      <c r="B38" s="382"/>
      <c r="C38" s="85" t="s">
        <v>159</v>
      </c>
      <c r="D38" s="86">
        <f t="shared" si="1"/>
        <v>0</v>
      </c>
      <c r="E38" s="239"/>
    </row>
    <row r="39" spans="1:5">
      <c r="A39" s="382"/>
      <c r="B39" s="382"/>
      <c r="C39" s="85" t="s">
        <v>160</v>
      </c>
      <c r="D39" s="86">
        <f t="shared" si="1"/>
        <v>1</v>
      </c>
      <c r="E39" s="239"/>
    </row>
    <row r="40" spans="1:5">
      <c r="A40" s="382"/>
      <c r="B40" s="382"/>
      <c r="C40" s="85" t="s">
        <v>161</v>
      </c>
      <c r="D40" s="86">
        <f t="shared" si="1"/>
        <v>0</v>
      </c>
      <c r="E40" s="239"/>
    </row>
    <row r="41" spans="1:5">
      <c r="A41" s="382"/>
      <c r="B41" s="382"/>
      <c r="C41" s="85" t="s">
        <v>162</v>
      </c>
      <c r="D41" s="86">
        <f t="shared" si="1"/>
        <v>0</v>
      </c>
      <c r="E41" s="239"/>
    </row>
    <row r="42" spans="1:5" ht="16.5" customHeight="1">
      <c r="A42" s="382" t="s">
        <v>154</v>
      </c>
      <c r="B42" s="382">
        <f>SUMPRODUCT(--(LOOKUP(ROW($B$2:$B$20),ROW($B$2:$B$20)/($B$2:$B$20&lt;&gt;""),$B$2:$B$20)=A42))</f>
        <v>0</v>
      </c>
      <c r="C42" s="85" t="s">
        <v>163</v>
      </c>
      <c r="D42" s="86">
        <f t="shared" si="1"/>
        <v>0</v>
      </c>
      <c r="E42" s="239">
        <f>SUM(D42:D46)-B42</f>
        <v>0</v>
      </c>
    </row>
    <row r="43" spans="1:5">
      <c r="A43" s="382"/>
      <c r="B43" s="382"/>
      <c r="C43" s="85" t="s">
        <v>164</v>
      </c>
      <c r="D43" s="86">
        <f t="shared" si="1"/>
        <v>0</v>
      </c>
      <c r="E43" s="239"/>
    </row>
    <row r="44" spans="1:5">
      <c r="A44" s="382"/>
      <c r="B44" s="382"/>
      <c r="C44" s="85" t="s">
        <v>165</v>
      </c>
      <c r="D44" s="86">
        <f t="shared" si="1"/>
        <v>0</v>
      </c>
      <c r="E44" s="239"/>
    </row>
    <row r="45" spans="1:5">
      <c r="A45" s="382"/>
      <c r="B45" s="382"/>
      <c r="C45" s="85" t="s">
        <v>166</v>
      </c>
      <c r="D45" s="86">
        <f t="shared" si="1"/>
        <v>0</v>
      </c>
      <c r="E45" s="239"/>
    </row>
    <row r="46" spans="1:5">
      <c r="A46" s="382"/>
      <c r="B46" s="382"/>
      <c r="C46" s="85" t="s">
        <v>167</v>
      </c>
      <c r="D46" s="86">
        <f t="shared" si="1"/>
        <v>0</v>
      </c>
      <c r="E46" s="239"/>
    </row>
    <row r="47" spans="1:5" ht="16.5" customHeight="1">
      <c r="A47" s="382" t="s">
        <v>156</v>
      </c>
      <c r="B47" s="382">
        <f>SUMPRODUCT(--(LOOKUP(ROW($B$2:$B$9),ROW($B$2:$B$9)/($B$2:$B$9&lt;&gt;""),$B$2:$B$9)=A47))</f>
        <v>3</v>
      </c>
      <c r="C47" s="85" t="s">
        <v>168</v>
      </c>
      <c r="D47" s="86">
        <f t="shared" si="1"/>
        <v>0</v>
      </c>
      <c r="E47" s="3">
        <f>SUM(D47:D51)-B47</f>
        <v>0</v>
      </c>
    </row>
    <row r="48" spans="1:5">
      <c r="A48" s="382"/>
      <c r="B48" s="382"/>
      <c r="C48" s="85" t="s">
        <v>169</v>
      </c>
      <c r="D48" s="86">
        <f t="shared" si="1"/>
        <v>0</v>
      </c>
    </row>
    <row r="49" spans="1:5">
      <c r="A49" s="382"/>
      <c r="B49" s="382"/>
      <c r="C49" s="85" t="s">
        <v>170</v>
      </c>
      <c r="D49" s="86">
        <f t="shared" si="1"/>
        <v>0</v>
      </c>
    </row>
    <row r="50" spans="1:5">
      <c r="A50" s="382"/>
      <c r="B50" s="382"/>
      <c r="C50" s="85" t="s">
        <v>178</v>
      </c>
      <c r="D50" s="86">
        <f t="shared" si="1"/>
        <v>0</v>
      </c>
    </row>
    <row r="51" spans="1:5">
      <c r="A51" s="382"/>
      <c r="B51" s="382"/>
      <c r="C51" s="85" t="s">
        <v>171</v>
      </c>
      <c r="D51" s="86">
        <f t="shared" si="1"/>
        <v>3</v>
      </c>
    </row>
    <row r="52" spans="1:5" ht="16.5" customHeight="1">
      <c r="A52" s="382" t="s">
        <v>155</v>
      </c>
      <c r="B52" s="382">
        <f>SUMPRODUCT(--(LOOKUP(ROW($B$2:$B$17),ROW($B$2:$B$17)/($B$2:$B$17&lt;&gt;""),$B$2:$B$17)=A52))</f>
        <v>0</v>
      </c>
      <c r="C52" s="85" t="s">
        <v>172</v>
      </c>
      <c r="D52" s="86">
        <f t="shared" si="1"/>
        <v>0</v>
      </c>
      <c r="E52" s="3">
        <f>SUM(D52:D57)-B52</f>
        <v>0</v>
      </c>
    </row>
    <row r="53" spans="1:5">
      <c r="A53" s="382"/>
      <c r="B53" s="382"/>
      <c r="C53" s="85" t="s">
        <v>173</v>
      </c>
      <c r="D53" s="86">
        <f t="shared" si="1"/>
        <v>0</v>
      </c>
    </row>
    <row r="54" spans="1:5">
      <c r="A54" s="382"/>
      <c r="B54" s="382"/>
      <c r="C54" s="85" t="s">
        <v>174</v>
      </c>
      <c r="D54" s="86">
        <f t="shared" si="1"/>
        <v>0</v>
      </c>
    </row>
    <row r="55" spans="1:5">
      <c r="A55" s="382"/>
      <c r="B55" s="382"/>
      <c r="C55" s="85" t="s">
        <v>175</v>
      </c>
      <c r="D55" s="86">
        <f t="shared" si="1"/>
        <v>0</v>
      </c>
    </row>
    <row r="56" spans="1:5">
      <c r="A56" s="382"/>
      <c r="B56" s="382"/>
      <c r="C56" s="85" t="s">
        <v>176</v>
      </c>
      <c r="D56" s="86">
        <f t="shared" si="1"/>
        <v>0</v>
      </c>
    </row>
    <row r="57" spans="1:5">
      <c r="A57" s="382"/>
      <c r="B57" s="382"/>
      <c r="C57" s="85" t="s">
        <v>177</v>
      </c>
      <c r="D57" s="86">
        <f t="shared" si="1"/>
        <v>0</v>
      </c>
    </row>
    <row r="58" spans="1:5">
      <c r="B58" s="2">
        <f>SUM(B36:B57)</f>
        <v>7</v>
      </c>
      <c r="D58" s="2">
        <f>SUM(D36:D57)</f>
        <v>7</v>
      </c>
    </row>
  </sheetData>
  <mergeCells count="19">
    <mergeCell ref="A47:A51"/>
    <mergeCell ref="B47:B51"/>
    <mergeCell ref="A52:A57"/>
    <mergeCell ref="B52:B57"/>
    <mergeCell ref="C31:C34"/>
    <mergeCell ref="A35:B35"/>
    <mergeCell ref="C35:D35"/>
    <mergeCell ref="A36:A41"/>
    <mergeCell ref="B36:B41"/>
    <mergeCell ref="A42:A46"/>
    <mergeCell ref="B42:B46"/>
    <mergeCell ref="H12:I12"/>
    <mergeCell ref="H13:I13"/>
    <mergeCell ref="A1:M1"/>
    <mergeCell ref="G2:H2"/>
    <mergeCell ref="B3:B6"/>
    <mergeCell ref="C4:C5"/>
    <mergeCell ref="B7:B9"/>
    <mergeCell ref="C7:C9"/>
  </mergeCells>
  <phoneticPr fontId="1" type="noConversion"/>
  <pageMargins left="0.19685039370078741" right="0.19685039370078741" top="0.39370078740157483" bottom="0.39370078740157483" header="0" footer="0"/>
  <pageSetup paperSize="9" scale="3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3F72-4CBB-4376-A199-BD1D4FFA04F1}">
  <sheetPr>
    <pageSetUpPr fitToPage="1"/>
  </sheetPr>
  <dimension ref="A1:M60"/>
  <sheetViews>
    <sheetView view="pageBreakPreview" topLeftCell="A12" zoomScale="118" zoomScaleNormal="70" zoomScaleSheetLayoutView="118" workbookViewId="0">
      <selection activeCell="D49" sqref="D49"/>
    </sheetView>
  </sheetViews>
  <sheetFormatPr defaultColWidth="8.875" defaultRowHeight="16.5"/>
  <cols>
    <col min="1" max="1" width="8" style="1" customWidth="1"/>
    <col min="2" max="2" width="27.75" style="2" customWidth="1"/>
    <col min="3" max="3" width="38.875" style="2" customWidth="1"/>
    <col min="4" max="4" width="11.75" style="1" customWidth="1"/>
    <col min="5" max="5" width="58.625" style="3" customWidth="1"/>
    <col min="6" max="9" width="10.625" style="2" customWidth="1"/>
    <col min="10" max="10" width="66.5" style="3" customWidth="1"/>
    <col min="11" max="11" width="19.125" style="2" customWidth="1"/>
    <col min="12" max="12" width="21" style="2" customWidth="1"/>
    <col min="13" max="13" width="34.75" style="1" customWidth="1"/>
    <col min="14" max="16384" width="8.875" style="1"/>
  </cols>
  <sheetData>
    <row r="1" spans="1:13" ht="69.75" customHeight="1" thickBot="1">
      <c r="A1" s="417" t="s">
        <v>207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</row>
    <row r="2" spans="1:13" ht="42.75" customHeight="1">
      <c r="A2" s="23" t="s">
        <v>15</v>
      </c>
      <c r="B2" s="25" t="s">
        <v>0</v>
      </c>
      <c r="C2" s="13" t="s">
        <v>13</v>
      </c>
      <c r="D2" s="13" t="s">
        <v>11</v>
      </c>
      <c r="E2" s="34" t="s">
        <v>1</v>
      </c>
      <c r="F2" s="38" t="s">
        <v>16</v>
      </c>
      <c r="G2" s="412" t="s">
        <v>12</v>
      </c>
      <c r="H2" s="412"/>
      <c r="I2" s="39" t="s">
        <v>47</v>
      </c>
      <c r="J2" s="39" t="s">
        <v>18</v>
      </c>
      <c r="K2" s="39" t="s">
        <v>17</v>
      </c>
      <c r="L2" s="40" t="s">
        <v>21</v>
      </c>
      <c r="M2" s="46" t="s">
        <v>19</v>
      </c>
    </row>
    <row r="3" spans="1:13" s="10" customFormat="1">
      <c r="A3" s="24" t="s">
        <v>14</v>
      </c>
      <c r="B3" s="418" t="s">
        <v>264</v>
      </c>
      <c r="C3" s="188" t="s">
        <v>270</v>
      </c>
      <c r="D3" s="188" t="s">
        <v>38</v>
      </c>
      <c r="E3" s="212" t="s">
        <v>138</v>
      </c>
      <c r="F3" s="207">
        <v>10</v>
      </c>
      <c r="G3" s="231" t="s">
        <v>256</v>
      </c>
      <c r="H3" s="232">
        <v>1</v>
      </c>
      <c r="I3" s="205">
        <v>10</v>
      </c>
      <c r="J3" s="199" t="s">
        <v>296</v>
      </c>
      <c r="K3" s="200" t="s">
        <v>297</v>
      </c>
      <c r="L3" s="211" t="s">
        <v>298</v>
      </c>
      <c r="M3" s="31"/>
    </row>
    <row r="4" spans="1:13">
      <c r="A4" s="24" t="s">
        <v>20</v>
      </c>
      <c r="B4" s="419"/>
      <c r="C4" s="418" t="s">
        <v>162</v>
      </c>
      <c r="D4" s="187" t="s">
        <v>39</v>
      </c>
      <c r="E4" s="215" t="s">
        <v>141</v>
      </c>
      <c r="F4" s="208">
        <v>4</v>
      </c>
      <c r="G4" s="231" t="s">
        <v>224</v>
      </c>
      <c r="H4" s="233">
        <v>0.5</v>
      </c>
      <c r="I4" s="205">
        <v>2</v>
      </c>
      <c r="J4" s="184"/>
      <c r="K4" s="185"/>
      <c r="L4" s="221"/>
      <c r="M4" s="56"/>
    </row>
    <row r="5" spans="1:13">
      <c r="A5" s="24" t="s">
        <v>2</v>
      </c>
      <c r="B5" s="419"/>
      <c r="C5" s="419"/>
      <c r="D5" s="187" t="s">
        <v>38</v>
      </c>
      <c r="E5" s="215" t="s">
        <v>99</v>
      </c>
      <c r="F5" s="208">
        <v>10</v>
      </c>
      <c r="G5" s="231" t="s">
        <v>224</v>
      </c>
      <c r="H5" s="233">
        <v>0.5</v>
      </c>
      <c r="I5" s="205">
        <v>5</v>
      </c>
      <c r="J5" s="202"/>
      <c r="K5" s="193"/>
      <c r="L5" s="221"/>
      <c r="M5" s="56"/>
    </row>
    <row r="6" spans="1:13">
      <c r="A6" s="24" t="s">
        <v>3</v>
      </c>
      <c r="B6" s="420"/>
      <c r="C6" s="420"/>
      <c r="D6" s="187" t="s">
        <v>39</v>
      </c>
      <c r="E6" s="215" t="s">
        <v>100</v>
      </c>
      <c r="F6" s="208">
        <v>4</v>
      </c>
      <c r="G6" s="231" t="s">
        <v>224</v>
      </c>
      <c r="H6" s="233">
        <v>0.5</v>
      </c>
      <c r="I6" s="205">
        <v>2</v>
      </c>
      <c r="J6" s="201"/>
      <c r="K6" s="203"/>
      <c r="L6" s="222"/>
      <c r="M6" s="55"/>
    </row>
    <row r="7" spans="1:13" s="10" customFormat="1">
      <c r="A7" s="24" t="s">
        <v>4</v>
      </c>
      <c r="B7" s="418" t="s">
        <v>268</v>
      </c>
      <c r="C7" s="418" t="s">
        <v>171</v>
      </c>
      <c r="D7" s="187" t="s">
        <v>39</v>
      </c>
      <c r="E7" s="212" t="s">
        <v>83</v>
      </c>
      <c r="F7" s="207">
        <v>10</v>
      </c>
      <c r="G7" s="231" t="s">
        <v>224</v>
      </c>
      <c r="H7" s="232">
        <v>0.5</v>
      </c>
      <c r="I7" s="205">
        <v>5</v>
      </c>
      <c r="J7" s="194" t="s">
        <v>299</v>
      </c>
      <c r="K7" s="188" t="s">
        <v>300</v>
      </c>
      <c r="L7" s="217" t="s">
        <v>301</v>
      </c>
      <c r="M7" s="52"/>
    </row>
    <row r="8" spans="1:13">
      <c r="A8" s="24" t="s">
        <v>5</v>
      </c>
      <c r="B8" s="419"/>
      <c r="C8" s="419"/>
      <c r="D8" s="187" t="s">
        <v>38</v>
      </c>
      <c r="E8" s="212" t="s">
        <v>84</v>
      </c>
      <c r="F8" s="207">
        <v>10</v>
      </c>
      <c r="G8" s="231" t="s">
        <v>224</v>
      </c>
      <c r="H8" s="232">
        <v>0.5</v>
      </c>
      <c r="I8" s="205">
        <v>5</v>
      </c>
      <c r="J8" s="199"/>
      <c r="K8" s="200" t="s">
        <v>297</v>
      </c>
      <c r="L8" s="211" t="s">
        <v>298</v>
      </c>
      <c r="M8" s="31"/>
    </row>
    <row r="9" spans="1:13" s="6" customFormat="1" ht="27" customHeight="1">
      <c r="A9" s="24" t="s">
        <v>6</v>
      </c>
      <c r="B9" s="420"/>
      <c r="C9" s="420"/>
      <c r="D9" s="191" t="s">
        <v>38</v>
      </c>
      <c r="E9" s="213" t="s">
        <v>85</v>
      </c>
      <c r="F9" s="224">
        <v>10</v>
      </c>
      <c r="G9" s="234" t="s">
        <v>224</v>
      </c>
      <c r="H9" s="233">
        <v>0.5</v>
      </c>
      <c r="I9" s="205">
        <v>5</v>
      </c>
      <c r="J9" s="197"/>
      <c r="K9" s="198"/>
      <c r="L9" s="218"/>
      <c r="M9" s="53"/>
    </row>
    <row r="10" spans="1:13" ht="81">
      <c r="A10" s="24" t="s">
        <v>7</v>
      </c>
      <c r="B10" s="418" t="s">
        <v>269</v>
      </c>
      <c r="C10" s="418" t="s">
        <v>173</v>
      </c>
      <c r="D10" s="187" t="s">
        <v>38</v>
      </c>
      <c r="E10" s="216" t="s">
        <v>140</v>
      </c>
      <c r="F10" s="209">
        <v>10</v>
      </c>
      <c r="G10" s="231" t="s">
        <v>224</v>
      </c>
      <c r="H10" s="233">
        <v>0.5</v>
      </c>
      <c r="I10" s="205">
        <v>5</v>
      </c>
      <c r="J10" s="202"/>
      <c r="K10" s="193" t="s">
        <v>302</v>
      </c>
      <c r="L10" s="221" t="s">
        <v>303</v>
      </c>
      <c r="M10" s="56"/>
    </row>
    <row r="11" spans="1:13">
      <c r="A11" s="24" t="s">
        <v>8</v>
      </c>
      <c r="B11" s="419"/>
      <c r="C11" s="420"/>
      <c r="D11" s="187" t="s">
        <v>39</v>
      </c>
      <c r="E11" s="215" t="s">
        <v>98</v>
      </c>
      <c r="F11" s="208">
        <v>6</v>
      </c>
      <c r="G11" s="231" t="s">
        <v>224</v>
      </c>
      <c r="H11" s="233">
        <v>0.5</v>
      </c>
      <c r="I11" s="205">
        <v>3</v>
      </c>
      <c r="J11" s="189" t="s">
        <v>304</v>
      </c>
      <c r="K11" s="190" t="s">
        <v>305</v>
      </c>
      <c r="L11" s="222" t="s">
        <v>306</v>
      </c>
      <c r="M11" s="55"/>
    </row>
    <row r="12" spans="1:13" s="6" customFormat="1">
      <c r="A12" s="24" t="s">
        <v>22</v>
      </c>
      <c r="B12" s="419"/>
      <c r="C12" s="425" t="s">
        <v>175</v>
      </c>
      <c r="D12" s="191" t="s">
        <v>39</v>
      </c>
      <c r="E12" s="214" t="s">
        <v>86</v>
      </c>
      <c r="F12" s="225">
        <v>7</v>
      </c>
      <c r="G12" s="191" t="s">
        <v>256</v>
      </c>
      <c r="H12" s="186">
        <v>1</v>
      </c>
      <c r="I12" s="205">
        <v>7</v>
      </c>
      <c r="J12" s="196" t="s">
        <v>307</v>
      </c>
      <c r="K12" s="192" t="s">
        <v>308</v>
      </c>
      <c r="L12" s="219" t="s">
        <v>309</v>
      </c>
      <c r="M12" s="54"/>
    </row>
    <row r="13" spans="1:13" s="6" customFormat="1">
      <c r="A13" s="24" t="s">
        <v>9</v>
      </c>
      <c r="B13" s="419"/>
      <c r="C13" s="426"/>
      <c r="D13" s="191" t="s">
        <v>38</v>
      </c>
      <c r="E13" s="213" t="s">
        <v>87</v>
      </c>
      <c r="F13" s="224">
        <v>7</v>
      </c>
      <c r="G13" s="191" t="s">
        <v>224</v>
      </c>
      <c r="H13" s="186">
        <v>0.5</v>
      </c>
      <c r="I13" s="205">
        <v>3.5</v>
      </c>
      <c r="J13" s="204" t="s">
        <v>310</v>
      </c>
      <c r="K13" s="192" t="s">
        <v>311</v>
      </c>
      <c r="L13" s="219" t="s">
        <v>301</v>
      </c>
      <c r="M13" s="54"/>
    </row>
    <row r="14" spans="1:13">
      <c r="A14" s="24" t="s">
        <v>10</v>
      </c>
      <c r="B14" s="419"/>
      <c r="C14" s="426"/>
      <c r="D14" s="187" t="s">
        <v>38</v>
      </c>
      <c r="E14" s="212" t="s">
        <v>88</v>
      </c>
      <c r="F14" s="207">
        <v>7</v>
      </c>
      <c r="G14" s="187" t="s">
        <v>224</v>
      </c>
      <c r="H14" s="186">
        <v>0.5</v>
      </c>
      <c r="I14" s="205">
        <v>3.5</v>
      </c>
      <c r="J14" s="194" t="s">
        <v>312</v>
      </c>
      <c r="K14" s="195" t="s">
        <v>313</v>
      </c>
      <c r="L14" s="217" t="s">
        <v>314</v>
      </c>
      <c r="M14" s="52"/>
    </row>
    <row r="15" spans="1:13">
      <c r="A15" s="24" t="s">
        <v>25</v>
      </c>
      <c r="B15" s="419"/>
      <c r="C15" s="426"/>
      <c r="D15" s="187" t="s">
        <v>38</v>
      </c>
      <c r="E15" s="215" t="s">
        <v>89</v>
      </c>
      <c r="F15" s="208">
        <v>7</v>
      </c>
      <c r="G15" s="187" t="s">
        <v>224</v>
      </c>
      <c r="H15" s="186">
        <v>0.5</v>
      </c>
      <c r="I15" s="205">
        <v>3.5</v>
      </c>
      <c r="J15" s="194" t="s">
        <v>312</v>
      </c>
      <c r="K15" s="195" t="s">
        <v>313</v>
      </c>
      <c r="L15" s="217" t="s">
        <v>314</v>
      </c>
      <c r="M15" s="55"/>
    </row>
    <row r="16" spans="1:13">
      <c r="A16" s="24" t="s">
        <v>24</v>
      </c>
      <c r="B16" s="419"/>
      <c r="C16" s="426"/>
      <c r="D16" s="187" t="s">
        <v>38</v>
      </c>
      <c r="E16" s="215" t="s">
        <v>90</v>
      </c>
      <c r="F16" s="208">
        <v>5</v>
      </c>
      <c r="G16" s="187" t="s">
        <v>224</v>
      </c>
      <c r="H16" s="186">
        <v>0.5</v>
      </c>
      <c r="I16" s="205">
        <v>2.5</v>
      </c>
      <c r="J16" s="202"/>
      <c r="K16" s="193"/>
      <c r="L16" s="221"/>
      <c r="M16" s="56"/>
    </row>
    <row r="17" spans="1:13">
      <c r="A17" s="24" t="s">
        <v>23</v>
      </c>
      <c r="B17" s="419"/>
      <c r="C17" s="426"/>
      <c r="D17" s="187" t="s">
        <v>38</v>
      </c>
      <c r="E17" s="215" t="s">
        <v>91</v>
      </c>
      <c r="F17" s="208">
        <v>7</v>
      </c>
      <c r="G17" s="187" t="s">
        <v>224</v>
      </c>
      <c r="H17" s="186">
        <v>0.5</v>
      </c>
      <c r="I17" s="205">
        <v>3.5</v>
      </c>
      <c r="J17" s="201"/>
      <c r="K17" s="203"/>
      <c r="L17" s="222"/>
      <c r="M17" s="55"/>
    </row>
    <row r="18" spans="1:13" ht="27">
      <c r="A18" s="24" t="s">
        <v>32</v>
      </c>
      <c r="B18" s="419"/>
      <c r="C18" s="426"/>
      <c r="D18" s="187" t="s">
        <v>38</v>
      </c>
      <c r="E18" s="216" t="s">
        <v>139</v>
      </c>
      <c r="F18" s="209">
        <v>7</v>
      </c>
      <c r="G18" s="187" t="s">
        <v>224</v>
      </c>
      <c r="H18" s="186">
        <v>0.5</v>
      </c>
      <c r="I18" s="205">
        <v>3.5</v>
      </c>
      <c r="J18" s="202" t="s">
        <v>315</v>
      </c>
      <c r="K18" s="193" t="s">
        <v>316</v>
      </c>
      <c r="L18" s="221" t="s">
        <v>317</v>
      </c>
      <c r="M18" s="56"/>
    </row>
    <row r="19" spans="1:13">
      <c r="A19" s="24" t="s">
        <v>31</v>
      </c>
      <c r="B19" s="419"/>
      <c r="C19" s="426"/>
      <c r="D19" s="187" t="s">
        <v>38</v>
      </c>
      <c r="E19" s="215" t="s">
        <v>92</v>
      </c>
      <c r="F19" s="208">
        <v>10</v>
      </c>
      <c r="G19" s="187" t="s">
        <v>224</v>
      </c>
      <c r="H19" s="186">
        <v>0.5</v>
      </c>
      <c r="I19" s="205">
        <v>5</v>
      </c>
      <c r="J19" s="189"/>
      <c r="K19" s="190"/>
      <c r="L19" s="222"/>
      <c r="M19" s="55"/>
    </row>
    <row r="20" spans="1:13">
      <c r="A20" s="24" t="s">
        <v>30</v>
      </c>
      <c r="B20" s="419"/>
      <c r="C20" s="426"/>
      <c r="D20" s="187" t="s">
        <v>38</v>
      </c>
      <c r="E20" s="215" t="s">
        <v>93</v>
      </c>
      <c r="F20" s="208">
        <v>6</v>
      </c>
      <c r="G20" s="187" t="s">
        <v>224</v>
      </c>
      <c r="H20" s="186">
        <v>0.5</v>
      </c>
      <c r="I20" s="205">
        <v>3</v>
      </c>
      <c r="J20" s="202" t="s">
        <v>318</v>
      </c>
      <c r="K20" s="185" t="s">
        <v>319</v>
      </c>
      <c r="L20" s="221" t="s">
        <v>320</v>
      </c>
      <c r="M20" s="56"/>
    </row>
    <row r="21" spans="1:13">
      <c r="A21" s="24" t="s">
        <v>29</v>
      </c>
      <c r="B21" s="419"/>
      <c r="C21" s="426"/>
      <c r="D21" s="187" t="s">
        <v>38</v>
      </c>
      <c r="E21" s="212" t="s">
        <v>94</v>
      </c>
      <c r="F21" s="207">
        <v>3</v>
      </c>
      <c r="G21" s="187" t="s">
        <v>224</v>
      </c>
      <c r="H21" s="186">
        <v>0.5</v>
      </c>
      <c r="I21" s="205">
        <v>1.5</v>
      </c>
      <c r="J21" s="194" t="s">
        <v>321</v>
      </c>
      <c r="K21" s="195" t="s">
        <v>322</v>
      </c>
      <c r="L21" s="217" t="s">
        <v>320</v>
      </c>
      <c r="M21" s="52"/>
    </row>
    <row r="22" spans="1:13">
      <c r="A22" s="24" t="s">
        <v>28</v>
      </c>
      <c r="B22" s="419"/>
      <c r="C22" s="426"/>
      <c r="D22" s="187" t="s">
        <v>38</v>
      </c>
      <c r="E22" s="215" t="s">
        <v>95</v>
      </c>
      <c r="F22" s="208">
        <v>3</v>
      </c>
      <c r="G22" s="187" t="s">
        <v>224</v>
      </c>
      <c r="H22" s="186">
        <v>0.5</v>
      </c>
      <c r="I22" s="205">
        <v>1.5</v>
      </c>
      <c r="J22" s="189"/>
      <c r="K22" s="203"/>
      <c r="L22" s="220"/>
      <c r="M22" s="55"/>
    </row>
    <row r="23" spans="1:13">
      <c r="A23" s="24" t="s">
        <v>27</v>
      </c>
      <c r="B23" s="419"/>
      <c r="C23" s="426"/>
      <c r="D23" s="187" t="s">
        <v>38</v>
      </c>
      <c r="E23" s="215" t="s">
        <v>96</v>
      </c>
      <c r="F23" s="208">
        <v>4</v>
      </c>
      <c r="G23" s="187" t="s">
        <v>224</v>
      </c>
      <c r="H23" s="186">
        <v>0.5</v>
      </c>
      <c r="I23" s="205">
        <v>2</v>
      </c>
      <c r="J23" s="202" t="s">
        <v>318</v>
      </c>
      <c r="K23" s="185" t="s">
        <v>319</v>
      </c>
      <c r="L23" s="221" t="s">
        <v>320</v>
      </c>
      <c r="M23" s="56"/>
    </row>
    <row r="24" spans="1:13" ht="17.25" thickBot="1">
      <c r="A24" s="24" t="s">
        <v>26</v>
      </c>
      <c r="B24" s="419"/>
      <c r="C24" s="427"/>
      <c r="D24" s="187" t="s">
        <v>39</v>
      </c>
      <c r="E24" s="215" t="s">
        <v>97</v>
      </c>
      <c r="F24" s="226">
        <v>3</v>
      </c>
      <c r="G24" s="223" t="s">
        <v>224</v>
      </c>
      <c r="H24" s="227">
        <v>0.5</v>
      </c>
      <c r="I24" s="210">
        <v>1.5</v>
      </c>
      <c r="J24" s="228"/>
      <c r="K24" s="229"/>
      <c r="L24" s="230"/>
      <c r="M24" s="55"/>
    </row>
    <row r="25" spans="1:13">
      <c r="D25" s="17"/>
      <c r="E25" s="18"/>
      <c r="I25" s="17"/>
    </row>
    <row r="26" spans="1:13">
      <c r="D26" s="17"/>
      <c r="E26" s="18"/>
      <c r="I26" s="17"/>
    </row>
    <row r="27" spans="1:13">
      <c r="I27" s="1"/>
    </row>
    <row r="29" spans="1:13">
      <c r="F29" s="16" t="s">
        <v>46</v>
      </c>
      <c r="G29" s="16" t="s">
        <v>47</v>
      </c>
      <c r="H29" s="413" t="s">
        <v>48</v>
      </c>
      <c r="I29" s="414"/>
    </row>
    <row r="30" spans="1:13">
      <c r="F30" s="16">
        <f>SUM(F3:F24)</f>
        <v>150</v>
      </c>
      <c r="G30" s="29">
        <f>SUM(I3:I24)</f>
        <v>83.5</v>
      </c>
      <c r="H30" s="415">
        <f>G30/F30*100</f>
        <v>55.666666666666664</v>
      </c>
      <c r="I30" s="416"/>
    </row>
    <row r="31" spans="1:13">
      <c r="H31" s="297">
        <f>AVERAGE($H$3:H26)</f>
        <v>0.54545454545454541</v>
      </c>
    </row>
    <row r="32" spans="1:13">
      <c r="C32" s="92"/>
      <c r="D32" s="2"/>
    </row>
    <row r="33" spans="1:5">
      <c r="C33" s="410" t="s">
        <v>188</v>
      </c>
      <c r="D33" s="26" t="s">
        <v>38</v>
      </c>
    </row>
    <row r="34" spans="1:5">
      <c r="C34" s="410"/>
      <c r="D34" s="26">
        <f>COUNTIF(D3:D32,$D$33)</f>
        <v>16</v>
      </c>
    </row>
    <row r="35" spans="1:5">
      <c r="C35" s="410"/>
      <c r="D35" s="26" t="s">
        <v>187</v>
      </c>
    </row>
    <row r="36" spans="1:5">
      <c r="C36" s="411"/>
      <c r="D36" s="26">
        <f>COUNTIF(D3:D34,$D$35)</f>
        <v>6</v>
      </c>
    </row>
    <row r="37" spans="1:5">
      <c r="A37" s="381" t="s">
        <v>63</v>
      </c>
      <c r="B37" s="381"/>
      <c r="C37" s="381" t="s">
        <v>186</v>
      </c>
      <c r="D37" s="381"/>
    </row>
    <row r="38" spans="1:5" ht="16.5" customHeight="1">
      <c r="A38" s="382" t="s">
        <v>153</v>
      </c>
      <c r="B38" s="382">
        <f>SUMPRODUCT(--(LOOKUP(ROW($B$2:$B$24),ROW($B$2:$B$24)/($B$2:$B$24&lt;&gt;""),$B$2:$B$24)=A38))</f>
        <v>4</v>
      </c>
      <c r="C38" s="85" t="s">
        <v>157</v>
      </c>
      <c r="D38" s="86">
        <f t="shared" ref="D38:D59" si="0">SUMPRODUCT(--(LOOKUP(ROW($C$2:$C$24),ROW($C$2:$C$24)/($C$2:$C$24&lt;&gt;""),$C$2:$C$24)=C38))</f>
        <v>0</v>
      </c>
      <c r="E38" s="239">
        <f>SUM(D38:D43)-B38</f>
        <v>0</v>
      </c>
    </row>
    <row r="39" spans="1:5">
      <c r="A39" s="382"/>
      <c r="B39" s="382"/>
      <c r="C39" s="85" t="s">
        <v>158</v>
      </c>
      <c r="D39" s="86">
        <f t="shared" si="0"/>
        <v>1</v>
      </c>
      <c r="E39" s="239"/>
    </row>
    <row r="40" spans="1:5">
      <c r="A40" s="382"/>
      <c r="B40" s="382"/>
      <c r="C40" s="85" t="s">
        <v>159</v>
      </c>
      <c r="D40" s="86">
        <f t="shared" si="0"/>
        <v>0</v>
      </c>
      <c r="E40" s="239"/>
    </row>
    <row r="41" spans="1:5">
      <c r="A41" s="382"/>
      <c r="B41" s="382"/>
      <c r="C41" s="85" t="s">
        <v>160</v>
      </c>
      <c r="D41" s="86">
        <f t="shared" si="0"/>
        <v>0</v>
      </c>
      <c r="E41" s="239"/>
    </row>
    <row r="42" spans="1:5">
      <c r="A42" s="382"/>
      <c r="B42" s="382"/>
      <c r="C42" s="85" t="s">
        <v>161</v>
      </c>
      <c r="D42" s="86">
        <f t="shared" si="0"/>
        <v>0</v>
      </c>
      <c r="E42" s="239"/>
    </row>
    <row r="43" spans="1:5">
      <c r="A43" s="382"/>
      <c r="B43" s="382"/>
      <c r="C43" s="85" t="s">
        <v>162</v>
      </c>
      <c r="D43" s="86">
        <f t="shared" si="0"/>
        <v>3</v>
      </c>
      <c r="E43" s="239"/>
    </row>
    <row r="44" spans="1:5" ht="16.5" customHeight="1">
      <c r="A44" s="382" t="s">
        <v>154</v>
      </c>
      <c r="B44" s="382">
        <f>SUMPRODUCT(--(LOOKUP(ROW($B$2:$B$22),ROW($B$2:$B$24)/($B$2:$B$24&lt;&gt;""),$B$2:$B$24)=A44))</f>
        <v>0</v>
      </c>
      <c r="C44" s="85" t="s">
        <v>163</v>
      </c>
      <c r="D44" s="86">
        <f t="shared" si="0"/>
        <v>0</v>
      </c>
      <c r="E44" s="239">
        <f>SUM(D44:D48)-B44</f>
        <v>0</v>
      </c>
    </row>
    <row r="45" spans="1:5">
      <c r="A45" s="382"/>
      <c r="B45" s="382"/>
      <c r="C45" s="85" t="s">
        <v>164</v>
      </c>
      <c r="D45" s="86">
        <f t="shared" si="0"/>
        <v>0</v>
      </c>
      <c r="E45" s="239"/>
    </row>
    <row r="46" spans="1:5">
      <c r="A46" s="382"/>
      <c r="B46" s="382"/>
      <c r="C46" s="85" t="s">
        <v>165</v>
      </c>
      <c r="D46" s="86">
        <f t="shared" si="0"/>
        <v>0</v>
      </c>
      <c r="E46" s="239"/>
    </row>
    <row r="47" spans="1:5">
      <c r="A47" s="382"/>
      <c r="B47" s="382"/>
      <c r="C47" s="85" t="s">
        <v>166</v>
      </c>
      <c r="D47" s="86">
        <f t="shared" si="0"/>
        <v>0</v>
      </c>
      <c r="E47" s="239"/>
    </row>
    <row r="48" spans="1:5">
      <c r="A48" s="382"/>
      <c r="B48" s="382"/>
      <c r="C48" s="85" t="s">
        <v>167</v>
      </c>
      <c r="D48" s="86">
        <f t="shared" si="0"/>
        <v>0</v>
      </c>
      <c r="E48" s="239"/>
    </row>
    <row r="49" spans="1:5" ht="16.5" customHeight="1">
      <c r="A49" s="382" t="s">
        <v>156</v>
      </c>
      <c r="B49" s="382">
        <f>SUMPRODUCT(--(LOOKUP(ROW($B$2:$B$22),ROW($B$2:$B$24)/($B$2:$B$24&lt;&gt;""),$B$2:$B$24)=A49))</f>
        <v>3</v>
      </c>
      <c r="C49" s="85" t="s">
        <v>168</v>
      </c>
      <c r="D49" s="86">
        <f t="shared" si="0"/>
        <v>0</v>
      </c>
      <c r="E49" s="3">
        <f>SUM(D49:D53)-B49</f>
        <v>0</v>
      </c>
    </row>
    <row r="50" spans="1:5">
      <c r="A50" s="382"/>
      <c r="B50" s="382"/>
      <c r="C50" s="85" t="s">
        <v>169</v>
      </c>
      <c r="D50" s="86">
        <f t="shared" si="0"/>
        <v>0</v>
      </c>
    </row>
    <row r="51" spans="1:5">
      <c r="A51" s="382"/>
      <c r="B51" s="382"/>
      <c r="C51" s="85" t="s">
        <v>170</v>
      </c>
      <c r="D51" s="86">
        <f t="shared" si="0"/>
        <v>0</v>
      </c>
    </row>
    <row r="52" spans="1:5">
      <c r="A52" s="382"/>
      <c r="B52" s="382"/>
      <c r="C52" s="85" t="s">
        <v>178</v>
      </c>
      <c r="D52" s="86">
        <f t="shared" si="0"/>
        <v>0</v>
      </c>
    </row>
    <row r="53" spans="1:5">
      <c r="A53" s="382"/>
      <c r="B53" s="382"/>
      <c r="C53" s="85" t="s">
        <v>171</v>
      </c>
      <c r="D53" s="86">
        <f t="shared" si="0"/>
        <v>3</v>
      </c>
    </row>
    <row r="54" spans="1:5" ht="16.5" customHeight="1">
      <c r="A54" s="382" t="s">
        <v>155</v>
      </c>
      <c r="B54" s="382">
        <f>SUMPRODUCT(--(LOOKUP(ROW($B$2:$B$24),ROW($B$2:$B$24)/($B$2:$B$24&lt;&gt;""),$B$2:$B$24)=A54))</f>
        <v>15</v>
      </c>
      <c r="C54" s="85" t="s">
        <v>172</v>
      </c>
      <c r="D54" s="86">
        <f t="shared" si="0"/>
        <v>0</v>
      </c>
      <c r="E54" s="3">
        <f>SUM(D54:D59)-B54</f>
        <v>0</v>
      </c>
    </row>
    <row r="55" spans="1:5">
      <c r="A55" s="382"/>
      <c r="B55" s="382"/>
      <c r="C55" s="85" t="s">
        <v>173</v>
      </c>
      <c r="D55" s="86">
        <f t="shared" si="0"/>
        <v>2</v>
      </c>
    </row>
    <row r="56" spans="1:5">
      <c r="A56" s="382"/>
      <c r="B56" s="382"/>
      <c r="C56" s="85" t="s">
        <v>174</v>
      </c>
      <c r="D56" s="86">
        <f t="shared" si="0"/>
        <v>0</v>
      </c>
    </row>
    <row r="57" spans="1:5">
      <c r="A57" s="382"/>
      <c r="B57" s="382"/>
      <c r="C57" s="85" t="s">
        <v>175</v>
      </c>
      <c r="D57" s="86">
        <f t="shared" si="0"/>
        <v>13</v>
      </c>
    </row>
    <row r="58" spans="1:5">
      <c r="A58" s="382"/>
      <c r="B58" s="382"/>
      <c r="C58" s="85" t="s">
        <v>176</v>
      </c>
      <c r="D58" s="86">
        <f t="shared" si="0"/>
        <v>0</v>
      </c>
    </row>
    <row r="59" spans="1:5">
      <c r="A59" s="382"/>
      <c r="B59" s="382"/>
      <c r="C59" s="85" t="s">
        <v>177</v>
      </c>
      <c r="D59" s="86">
        <f t="shared" si="0"/>
        <v>0</v>
      </c>
      <c r="E59" s="3" t="s">
        <v>500</v>
      </c>
    </row>
    <row r="60" spans="1:5">
      <c r="B60" s="2">
        <f>SUM(B38:B59)</f>
        <v>22</v>
      </c>
      <c r="D60" s="2">
        <f>SUM(D38:D59)</f>
        <v>22</v>
      </c>
    </row>
  </sheetData>
  <mergeCells count="22">
    <mergeCell ref="A44:A48"/>
    <mergeCell ref="B44:B48"/>
    <mergeCell ref="A49:A53"/>
    <mergeCell ref="B49:B53"/>
    <mergeCell ref="A54:A59"/>
    <mergeCell ref="B54:B59"/>
    <mergeCell ref="A37:B37"/>
    <mergeCell ref="C37:D37"/>
    <mergeCell ref="A38:A43"/>
    <mergeCell ref="B38:B43"/>
    <mergeCell ref="C33:C36"/>
    <mergeCell ref="B3:B6"/>
    <mergeCell ref="B10:B24"/>
    <mergeCell ref="H30:I30"/>
    <mergeCell ref="H29:I29"/>
    <mergeCell ref="A1:M1"/>
    <mergeCell ref="G2:H2"/>
    <mergeCell ref="B7:B9"/>
    <mergeCell ref="C12:C24"/>
    <mergeCell ref="C10:C11"/>
    <mergeCell ref="C4:C6"/>
    <mergeCell ref="C7:C9"/>
  </mergeCells>
  <phoneticPr fontId="1" type="noConversion"/>
  <pageMargins left="0.19685039370078741" right="0.19685039370078741" top="0.39370078740157483" bottom="0.39370078740157483" header="0" footer="0"/>
  <pageSetup paperSize="9" scale="40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A68B-190E-464A-B7B7-304128A6E995}">
  <sheetPr>
    <pageSetUpPr fitToPage="1"/>
  </sheetPr>
  <dimension ref="A1:M60"/>
  <sheetViews>
    <sheetView view="pageBreakPreview" zoomScale="70" zoomScaleNormal="70" zoomScaleSheetLayoutView="70" workbookViewId="0">
      <selection activeCell="E28" sqref="E26:E28"/>
    </sheetView>
  </sheetViews>
  <sheetFormatPr defaultColWidth="8.875" defaultRowHeight="16.5"/>
  <cols>
    <col min="1" max="1" width="8" style="1" customWidth="1"/>
    <col min="2" max="2" width="24.5" style="2" customWidth="1"/>
    <col min="3" max="3" width="38.875" style="2" customWidth="1"/>
    <col min="4" max="4" width="11.75" style="1" customWidth="1"/>
    <col min="5" max="5" width="58.625" style="3" customWidth="1"/>
    <col min="6" max="9" width="10.625" style="2" customWidth="1"/>
    <col min="10" max="10" width="66.5" style="3" customWidth="1"/>
    <col min="11" max="11" width="19.125" style="2" customWidth="1"/>
    <col min="12" max="12" width="18.875" style="2" bestFit="1" customWidth="1"/>
    <col min="13" max="13" width="34.75" style="1" customWidth="1"/>
    <col min="14" max="16384" width="8.875" style="1"/>
  </cols>
  <sheetData>
    <row r="1" spans="1:13" ht="69.75" customHeight="1" thickBot="1">
      <c r="A1" s="417" t="s">
        <v>208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</row>
    <row r="2" spans="1:13" ht="42.75" customHeight="1">
      <c r="A2" s="25" t="s">
        <v>15</v>
      </c>
      <c r="B2" s="25" t="s">
        <v>0</v>
      </c>
      <c r="C2" s="13" t="s">
        <v>13</v>
      </c>
      <c r="D2" s="13" t="s">
        <v>11</v>
      </c>
      <c r="E2" s="34" t="s">
        <v>1</v>
      </c>
      <c r="F2" s="38" t="s">
        <v>16</v>
      </c>
      <c r="G2" s="412" t="s">
        <v>12</v>
      </c>
      <c r="H2" s="412"/>
      <c r="I2" s="39" t="s">
        <v>47</v>
      </c>
      <c r="J2" s="39" t="s">
        <v>18</v>
      </c>
      <c r="K2" s="39" t="s">
        <v>17</v>
      </c>
      <c r="L2" s="40" t="s">
        <v>21</v>
      </c>
      <c r="M2" s="46" t="s">
        <v>19</v>
      </c>
    </row>
    <row r="3" spans="1:13" ht="33">
      <c r="A3" s="24" t="s">
        <v>14</v>
      </c>
      <c r="B3" s="296" t="str">
        <f>A38</f>
        <v>경영평가 "나"등급 이상</v>
      </c>
      <c r="C3" s="296" t="str">
        <f>C43</f>
        <v xml:space="preserve"> 지역사회공헌 확대</v>
      </c>
      <c r="D3" s="26" t="s">
        <v>38</v>
      </c>
      <c r="E3" s="35" t="s">
        <v>56</v>
      </c>
      <c r="F3" s="42">
        <v>5</v>
      </c>
      <c r="G3" s="105" t="s">
        <v>60</v>
      </c>
      <c r="H3" s="319">
        <v>1</v>
      </c>
      <c r="I3" s="28">
        <f>F3*H3</f>
        <v>5</v>
      </c>
      <c r="J3" s="365" t="s">
        <v>471</v>
      </c>
      <c r="K3" s="366" t="s">
        <v>472</v>
      </c>
      <c r="L3" s="367" t="s">
        <v>473</v>
      </c>
      <c r="M3" s="70"/>
    </row>
    <row r="4" spans="1:13" s="10" customFormat="1" ht="33">
      <c r="A4" s="314" t="s">
        <v>20</v>
      </c>
      <c r="B4" s="424" t="str">
        <f>A49</f>
        <v>안전사고 제로(ZERO)</v>
      </c>
      <c r="C4" s="424" t="str">
        <f>C49</f>
        <v xml:space="preserve"> 선제적·체계적 시설관리 운영</v>
      </c>
      <c r="D4" s="26" t="s">
        <v>38</v>
      </c>
      <c r="E4" s="35" t="s">
        <v>142</v>
      </c>
      <c r="F4" s="41">
        <v>5</v>
      </c>
      <c r="G4" s="305" t="s">
        <v>59</v>
      </c>
      <c r="H4" s="304">
        <v>0.5</v>
      </c>
      <c r="I4" s="28">
        <f>F4*H4</f>
        <v>2.5</v>
      </c>
      <c r="J4" s="368" t="s">
        <v>474</v>
      </c>
      <c r="K4" s="369" t="s">
        <v>475</v>
      </c>
      <c r="L4" s="370" t="s">
        <v>476</v>
      </c>
      <c r="M4" s="67"/>
    </row>
    <row r="5" spans="1:13">
      <c r="A5" s="314" t="s">
        <v>2</v>
      </c>
      <c r="B5" s="424"/>
      <c r="C5" s="424"/>
      <c r="D5" s="26" t="s">
        <v>38</v>
      </c>
      <c r="E5" s="35" t="s">
        <v>102</v>
      </c>
      <c r="F5" s="41">
        <v>5</v>
      </c>
      <c r="G5" s="105" t="s">
        <v>60</v>
      </c>
      <c r="H5" s="319">
        <v>1</v>
      </c>
      <c r="I5" s="28">
        <f t="shared" ref="I5:I13" si="0">F5*H5</f>
        <v>5</v>
      </c>
      <c r="J5" s="371" t="s">
        <v>477</v>
      </c>
      <c r="K5" s="309" t="s">
        <v>478</v>
      </c>
      <c r="L5" s="332" t="s">
        <v>479</v>
      </c>
      <c r="M5" s="37"/>
    </row>
    <row r="6" spans="1:13" s="6" customFormat="1">
      <c r="A6" s="314" t="s">
        <v>3</v>
      </c>
      <c r="B6" s="424"/>
      <c r="C6" s="424"/>
      <c r="D6" s="26" t="s">
        <v>38</v>
      </c>
      <c r="E6" s="35" t="s">
        <v>103</v>
      </c>
      <c r="F6" s="65">
        <v>5</v>
      </c>
      <c r="G6" s="305" t="s">
        <v>59</v>
      </c>
      <c r="H6" s="304">
        <v>0</v>
      </c>
      <c r="I6" s="28">
        <f t="shared" si="0"/>
        <v>0</v>
      </c>
      <c r="J6" s="371"/>
      <c r="K6" s="309"/>
      <c r="L6" s="332"/>
      <c r="M6" s="68"/>
    </row>
    <row r="7" spans="1:13" s="6" customFormat="1" ht="33" customHeight="1">
      <c r="A7" s="314" t="s">
        <v>4</v>
      </c>
      <c r="B7" s="424"/>
      <c r="C7" s="424"/>
      <c r="D7" s="26" t="s">
        <v>39</v>
      </c>
      <c r="E7" s="35" t="s">
        <v>104</v>
      </c>
      <c r="F7" s="66">
        <v>5</v>
      </c>
      <c r="G7" s="305" t="s">
        <v>60</v>
      </c>
      <c r="H7" s="304">
        <v>1</v>
      </c>
      <c r="I7" s="28">
        <f t="shared" si="0"/>
        <v>5</v>
      </c>
      <c r="J7" s="372" t="s">
        <v>480</v>
      </c>
      <c r="K7" s="306" t="s">
        <v>481</v>
      </c>
      <c r="L7" s="333" t="s">
        <v>482</v>
      </c>
      <c r="M7" s="69"/>
    </row>
    <row r="8" spans="1:13" s="6" customFormat="1" ht="33" customHeight="1">
      <c r="A8" s="314" t="s">
        <v>5</v>
      </c>
      <c r="B8" s="424"/>
      <c r="C8" s="26" t="str">
        <f>C50</f>
        <v xml:space="preserve"> 노후, 낙후 시설보수 정비</v>
      </c>
      <c r="D8" s="26" t="s">
        <v>39</v>
      </c>
      <c r="E8" s="35" t="s">
        <v>143</v>
      </c>
      <c r="F8" s="65">
        <v>10</v>
      </c>
      <c r="G8" s="305" t="s">
        <v>59</v>
      </c>
      <c r="H8" s="304">
        <v>0</v>
      </c>
      <c r="I8" s="28">
        <f t="shared" si="0"/>
        <v>0</v>
      </c>
      <c r="J8" s="365"/>
      <c r="K8" s="306"/>
      <c r="L8" s="333"/>
      <c r="M8" s="69"/>
    </row>
    <row r="9" spans="1:13" ht="33" customHeight="1">
      <c r="A9" s="314" t="s">
        <v>6</v>
      </c>
      <c r="B9" s="424" t="str">
        <f>A54</f>
        <v>고객만족도 90% 이상</v>
      </c>
      <c r="C9" s="424" t="str">
        <f>C56</f>
        <v xml:space="preserve"> 원활한 주차장 관리</v>
      </c>
      <c r="D9" s="26" t="s">
        <v>38</v>
      </c>
      <c r="E9" s="35" t="s">
        <v>49</v>
      </c>
      <c r="F9" s="41">
        <v>10</v>
      </c>
      <c r="G9" s="305" t="s">
        <v>59</v>
      </c>
      <c r="H9" s="304">
        <v>0</v>
      </c>
      <c r="I9" s="28">
        <f t="shared" si="0"/>
        <v>0</v>
      </c>
      <c r="J9" s="372"/>
      <c r="K9" s="366"/>
      <c r="L9" s="367"/>
      <c r="M9" s="67"/>
    </row>
    <row r="10" spans="1:13" ht="33" customHeight="1">
      <c r="A10" s="314" t="s">
        <v>7</v>
      </c>
      <c r="B10" s="424"/>
      <c r="C10" s="424"/>
      <c r="D10" s="26" t="s">
        <v>38</v>
      </c>
      <c r="E10" s="35" t="s">
        <v>144</v>
      </c>
      <c r="F10" s="42">
        <v>10</v>
      </c>
      <c r="G10" s="305" t="s">
        <v>59</v>
      </c>
      <c r="H10" s="304">
        <v>0.5</v>
      </c>
      <c r="I10" s="28">
        <f t="shared" si="0"/>
        <v>5</v>
      </c>
      <c r="J10" s="372" t="s">
        <v>483</v>
      </c>
      <c r="K10" s="366" t="s">
        <v>484</v>
      </c>
      <c r="L10" s="367" t="s">
        <v>485</v>
      </c>
      <c r="M10" s="70"/>
    </row>
    <row r="11" spans="1:13" ht="33" customHeight="1">
      <c r="A11" s="314" t="s">
        <v>8</v>
      </c>
      <c r="B11" s="424"/>
      <c r="C11" s="424"/>
      <c r="D11" s="26" t="s">
        <v>38</v>
      </c>
      <c r="E11" s="35" t="s">
        <v>105</v>
      </c>
      <c r="F11" s="42">
        <v>10</v>
      </c>
      <c r="G11" s="305" t="s">
        <v>59</v>
      </c>
      <c r="H11" s="302">
        <v>0</v>
      </c>
      <c r="I11" s="28">
        <f t="shared" si="0"/>
        <v>0</v>
      </c>
      <c r="J11" s="371"/>
      <c r="K11" s="369"/>
      <c r="L11" s="370"/>
      <c r="M11" s="71"/>
    </row>
    <row r="12" spans="1:13" ht="33">
      <c r="A12" s="314" t="s">
        <v>22</v>
      </c>
      <c r="B12" s="424"/>
      <c r="C12" s="424"/>
      <c r="D12" s="26" t="s">
        <v>39</v>
      </c>
      <c r="E12" s="35" t="s">
        <v>106</v>
      </c>
      <c r="F12" s="42">
        <v>10</v>
      </c>
      <c r="G12" s="105" t="s">
        <v>60</v>
      </c>
      <c r="H12" s="319">
        <v>1</v>
      </c>
      <c r="I12" s="28">
        <f t="shared" si="0"/>
        <v>10</v>
      </c>
      <c r="J12" s="372" t="s">
        <v>486</v>
      </c>
      <c r="K12" s="366" t="s">
        <v>487</v>
      </c>
      <c r="L12" s="367" t="s">
        <v>488</v>
      </c>
      <c r="M12" s="70"/>
    </row>
    <row r="13" spans="1:13">
      <c r="A13" s="314" t="s">
        <v>9</v>
      </c>
      <c r="B13" s="424"/>
      <c r="C13" s="26" t="str">
        <f>C58</f>
        <v xml:space="preserve"> 광고수익증대·도시미관 조성</v>
      </c>
      <c r="D13" s="26" t="s">
        <v>38</v>
      </c>
      <c r="E13" s="35" t="s">
        <v>51</v>
      </c>
      <c r="F13" s="43">
        <v>5</v>
      </c>
      <c r="G13" s="376" t="s">
        <v>59</v>
      </c>
      <c r="H13" s="377">
        <v>0</v>
      </c>
      <c r="I13" s="28">
        <f t="shared" si="0"/>
        <v>0</v>
      </c>
      <c r="J13" s="371"/>
      <c r="K13" s="369"/>
      <c r="L13" s="370"/>
      <c r="M13" s="71"/>
    </row>
    <row r="14" spans="1:13" s="301" customFormat="1">
      <c r="A14" s="314" t="s">
        <v>10</v>
      </c>
      <c r="B14" s="424"/>
      <c r="C14" s="164" t="str">
        <f>C57</f>
        <v xml:space="preserve"> 다양한 시민참여 프로그램 운영</v>
      </c>
      <c r="D14" s="164" t="s">
        <v>38</v>
      </c>
      <c r="E14" s="35" t="s">
        <v>50</v>
      </c>
      <c r="F14" s="323">
        <v>5</v>
      </c>
      <c r="G14" s="305" t="s">
        <v>59</v>
      </c>
      <c r="H14" s="302">
        <v>0</v>
      </c>
      <c r="I14" s="317">
        <f>F14*H14</f>
        <v>0</v>
      </c>
      <c r="J14" s="368"/>
      <c r="K14" s="369"/>
      <c r="L14" s="370"/>
      <c r="M14" s="336"/>
    </row>
    <row r="15" spans="1:13" s="10" customFormat="1" ht="42.75" customHeight="1" thickBot="1">
      <c r="A15" s="314" t="s">
        <v>25</v>
      </c>
      <c r="B15" s="424"/>
      <c r="C15" s="26" t="str">
        <f>C59</f>
        <v xml:space="preserve"> 노인일자리 창출 및 확대</v>
      </c>
      <c r="D15" s="26" t="s">
        <v>38</v>
      </c>
      <c r="E15" s="35" t="s">
        <v>101</v>
      </c>
      <c r="F15" s="64">
        <v>5</v>
      </c>
      <c r="G15" s="378" t="s">
        <v>60</v>
      </c>
      <c r="H15" s="338">
        <v>1</v>
      </c>
      <c r="I15" s="45">
        <f>F15*H15</f>
        <v>5</v>
      </c>
      <c r="J15" s="373" t="s">
        <v>489</v>
      </c>
      <c r="K15" s="374" t="s">
        <v>490</v>
      </c>
      <c r="L15" s="375" t="s">
        <v>491</v>
      </c>
      <c r="M15" s="37"/>
    </row>
    <row r="18" spans="3:9">
      <c r="F18" s="16" t="s">
        <v>46</v>
      </c>
      <c r="G18" s="16" t="s">
        <v>47</v>
      </c>
      <c r="H18" s="413" t="s">
        <v>48</v>
      </c>
      <c r="I18" s="414"/>
    </row>
    <row r="19" spans="3:9">
      <c r="F19" s="16">
        <f>SUM(F3:F15)</f>
        <v>90</v>
      </c>
      <c r="G19" s="29">
        <f>SUM(I3:I15)</f>
        <v>37.5</v>
      </c>
      <c r="H19" s="415">
        <f>G19/F19*100</f>
        <v>41.666666666666671</v>
      </c>
      <c r="I19" s="416"/>
    </row>
    <row r="20" spans="3:9">
      <c r="H20" s="297">
        <f>AVERAGE($H$3:H15)</f>
        <v>0.46153846153846156</v>
      </c>
    </row>
    <row r="32" spans="3:9">
      <c r="C32" s="92"/>
      <c r="D32" s="2"/>
    </row>
    <row r="33" spans="1:5">
      <c r="C33" s="410" t="s">
        <v>188</v>
      </c>
      <c r="D33" s="26" t="s">
        <v>38</v>
      </c>
    </row>
    <row r="34" spans="1:5">
      <c r="C34" s="410"/>
      <c r="D34" s="26">
        <f>COUNTIF(D3:D32,$D$33)</f>
        <v>10</v>
      </c>
    </row>
    <row r="35" spans="1:5">
      <c r="C35" s="410"/>
      <c r="D35" s="26" t="s">
        <v>187</v>
      </c>
    </row>
    <row r="36" spans="1:5">
      <c r="C36" s="411"/>
      <c r="D36" s="26">
        <f>COUNTIF(D3:D34,$D$35)</f>
        <v>3</v>
      </c>
    </row>
    <row r="37" spans="1:5">
      <c r="A37" s="381" t="s">
        <v>63</v>
      </c>
      <c r="B37" s="381"/>
      <c r="C37" s="381" t="s">
        <v>186</v>
      </c>
      <c r="D37" s="381"/>
    </row>
    <row r="38" spans="1:5" ht="16.5" customHeight="1">
      <c r="A38" s="382" t="s">
        <v>153</v>
      </c>
      <c r="B38" s="382">
        <f>SUMPRODUCT(--(LOOKUP(ROW($B$2:$B$15),ROW($B$2:$B$15)/($B$2:$B$15&lt;&gt;""),$B$2:$B$15)=A38))</f>
        <v>1</v>
      </c>
      <c r="C38" s="85" t="s">
        <v>157</v>
      </c>
      <c r="D38" s="86">
        <f t="shared" ref="D38:D59" si="1">SUMPRODUCT(--(LOOKUP(ROW($C$2:$C$15),ROW($C$2:$C$15)/($C$2:$C$15&lt;&gt;""),$C$2:$C$15)=C38))</f>
        <v>0</v>
      </c>
      <c r="E38" s="239">
        <f>SUM(D38:D43)-B38</f>
        <v>0</v>
      </c>
    </row>
    <row r="39" spans="1:5">
      <c r="A39" s="382"/>
      <c r="B39" s="382"/>
      <c r="C39" s="85" t="s">
        <v>158</v>
      </c>
      <c r="D39" s="86">
        <f t="shared" si="1"/>
        <v>0</v>
      </c>
      <c r="E39" s="239"/>
    </row>
    <row r="40" spans="1:5">
      <c r="A40" s="382"/>
      <c r="B40" s="382"/>
      <c r="C40" s="85" t="s">
        <v>159</v>
      </c>
      <c r="D40" s="86">
        <f t="shared" si="1"/>
        <v>0</v>
      </c>
      <c r="E40" s="239"/>
    </row>
    <row r="41" spans="1:5">
      <c r="A41" s="382"/>
      <c r="B41" s="382"/>
      <c r="C41" s="85" t="s">
        <v>160</v>
      </c>
      <c r="D41" s="86">
        <f t="shared" si="1"/>
        <v>0</v>
      </c>
      <c r="E41" s="239"/>
    </row>
    <row r="42" spans="1:5">
      <c r="A42" s="382"/>
      <c r="B42" s="382"/>
      <c r="C42" s="85" t="s">
        <v>161</v>
      </c>
      <c r="D42" s="86">
        <f t="shared" si="1"/>
        <v>0</v>
      </c>
      <c r="E42" s="239"/>
    </row>
    <row r="43" spans="1:5">
      <c r="A43" s="382"/>
      <c r="B43" s="382"/>
      <c r="C43" s="85" t="s">
        <v>162</v>
      </c>
      <c r="D43" s="86">
        <f t="shared" si="1"/>
        <v>1</v>
      </c>
      <c r="E43" s="239"/>
    </row>
    <row r="44" spans="1:5" ht="16.5" customHeight="1">
      <c r="A44" s="382" t="s">
        <v>154</v>
      </c>
      <c r="B44" s="382">
        <f>SUMPRODUCT(--(LOOKUP(ROW($B$2:$B$15),ROW($B$2:$B$15)/($B$2:$B$15&lt;&gt;""),$B$2:$B$15)=A44))</f>
        <v>0</v>
      </c>
      <c r="C44" s="85" t="s">
        <v>163</v>
      </c>
      <c r="D44" s="86">
        <f t="shared" si="1"/>
        <v>0</v>
      </c>
      <c r="E44" s="239">
        <f>SUM(D44:D48)-B44</f>
        <v>0</v>
      </c>
    </row>
    <row r="45" spans="1:5">
      <c r="A45" s="382"/>
      <c r="B45" s="382"/>
      <c r="C45" s="85" t="s">
        <v>164</v>
      </c>
      <c r="D45" s="86">
        <f t="shared" si="1"/>
        <v>0</v>
      </c>
      <c r="E45" s="239"/>
    </row>
    <row r="46" spans="1:5">
      <c r="A46" s="382"/>
      <c r="B46" s="382"/>
      <c r="C46" s="85" t="s">
        <v>165</v>
      </c>
      <c r="D46" s="86">
        <f t="shared" si="1"/>
        <v>0</v>
      </c>
      <c r="E46" s="239"/>
    </row>
    <row r="47" spans="1:5">
      <c r="A47" s="382"/>
      <c r="B47" s="382"/>
      <c r="C47" s="85" t="s">
        <v>166</v>
      </c>
      <c r="D47" s="86">
        <f t="shared" si="1"/>
        <v>0</v>
      </c>
      <c r="E47" s="239"/>
    </row>
    <row r="48" spans="1:5">
      <c r="A48" s="382"/>
      <c r="B48" s="382"/>
      <c r="C48" s="85" t="s">
        <v>167</v>
      </c>
      <c r="D48" s="86">
        <f t="shared" si="1"/>
        <v>0</v>
      </c>
      <c r="E48" s="239"/>
    </row>
    <row r="49" spans="1:5" ht="16.5" customHeight="1">
      <c r="A49" s="382" t="s">
        <v>156</v>
      </c>
      <c r="B49" s="382">
        <f>SUMPRODUCT(--(LOOKUP(ROW($B$2:$B$15),ROW($B$2:$B$15)/($B$2:$B$15&lt;&gt;""),$B$2:$B$15)=A49))</f>
        <v>5</v>
      </c>
      <c r="C49" s="85" t="s">
        <v>168</v>
      </c>
      <c r="D49" s="86">
        <f t="shared" si="1"/>
        <v>4</v>
      </c>
      <c r="E49" s="3">
        <f>SUM(D49:D53)-B49</f>
        <v>0</v>
      </c>
    </row>
    <row r="50" spans="1:5">
      <c r="A50" s="382"/>
      <c r="B50" s="382"/>
      <c r="C50" s="85" t="s">
        <v>169</v>
      </c>
      <c r="D50" s="86">
        <f t="shared" si="1"/>
        <v>1</v>
      </c>
    </row>
    <row r="51" spans="1:5">
      <c r="A51" s="382"/>
      <c r="B51" s="382"/>
      <c r="C51" s="85" t="s">
        <v>170</v>
      </c>
      <c r="D51" s="86">
        <f t="shared" si="1"/>
        <v>0</v>
      </c>
    </row>
    <row r="52" spans="1:5">
      <c r="A52" s="382"/>
      <c r="B52" s="382"/>
      <c r="C52" s="85" t="s">
        <v>178</v>
      </c>
      <c r="D52" s="86">
        <f t="shared" si="1"/>
        <v>0</v>
      </c>
    </row>
    <row r="53" spans="1:5">
      <c r="A53" s="382"/>
      <c r="B53" s="382"/>
      <c r="C53" s="85" t="s">
        <v>171</v>
      </c>
      <c r="D53" s="86">
        <f t="shared" si="1"/>
        <v>0</v>
      </c>
    </row>
    <row r="54" spans="1:5" ht="16.5" customHeight="1">
      <c r="A54" s="382" t="s">
        <v>155</v>
      </c>
      <c r="B54" s="382">
        <f>SUMPRODUCT(--(LOOKUP(ROW($B$2:$B$15),ROW($B$2:$B$15)/($B$2:$B$15&lt;&gt;""),$B$2:$B$15)=A54))</f>
        <v>7</v>
      </c>
      <c r="C54" s="85" t="s">
        <v>172</v>
      </c>
      <c r="D54" s="86">
        <f t="shared" si="1"/>
        <v>0</v>
      </c>
      <c r="E54" s="3">
        <f>SUM(D54:D59)-B54</f>
        <v>0</v>
      </c>
    </row>
    <row r="55" spans="1:5">
      <c r="A55" s="382"/>
      <c r="B55" s="382"/>
      <c r="C55" s="85" t="s">
        <v>173</v>
      </c>
      <c r="D55" s="86">
        <f t="shared" si="1"/>
        <v>0</v>
      </c>
    </row>
    <row r="56" spans="1:5">
      <c r="A56" s="382"/>
      <c r="B56" s="382"/>
      <c r="C56" s="85" t="s">
        <v>174</v>
      </c>
      <c r="D56" s="86">
        <f t="shared" si="1"/>
        <v>4</v>
      </c>
    </row>
    <row r="57" spans="1:5">
      <c r="A57" s="382"/>
      <c r="B57" s="382"/>
      <c r="C57" s="85" t="s">
        <v>175</v>
      </c>
      <c r="D57" s="86">
        <f t="shared" si="1"/>
        <v>1</v>
      </c>
    </row>
    <row r="58" spans="1:5">
      <c r="A58" s="382"/>
      <c r="B58" s="382"/>
      <c r="C58" s="85" t="s">
        <v>176</v>
      </c>
      <c r="D58" s="86">
        <f t="shared" si="1"/>
        <v>1</v>
      </c>
    </row>
    <row r="59" spans="1:5">
      <c r="A59" s="382"/>
      <c r="B59" s="382"/>
      <c r="C59" s="85" t="s">
        <v>177</v>
      </c>
      <c r="D59" s="86">
        <f t="shared" si="1"/>
        <v>1</v>
      </c>
    </row>
    <row r="60" spans="1:5">
      <c r="B60" s="2">
        <f>SUM(B38:B59)</f>
        <v>13</v>
      </c>
      <c r="D60" s="2">
        <f>SUM(D38:D59)</f>
        <v>13</v>
      </c>
    </row>
  </sheetData>
  <mergeCells count="19">
    <mergeCell ref="A49:A53"/>
    <mergeCell ref="B49:B53"/>
    <mergeCell ref="A54:A59"/>
    <mergeCell ref="B54:B59"/>
    <mergeCell ref="A44:A48"/>
    <mergeCell ref="B44:B48"/>
    <mergeCell ref="A37:B37"/>
    <mergeCell ref="C37:D37"/>
    <mergeCell ref="A38:A43"/>
    <mergeCell ref="B38:B43"/>
    <mergeCell ref="C33:C36"/>
    <mergeCell ref="H18:I18"/>
    <mergeCell ref="H19:I19"/>
    <mergeCell ref="A1:M1"/>
    <mergeCell ref="G2:H2"/>
    <mergeCell ref="B4:B8"/>
    <mergeCell ref="C9:C12"/>
    <mergeCell ref="C4:C7"/>
    <mergeCell ref="B9:B15"/>
  </mergeCells>
  <phoneticPr fontId="1" type="noConversion"/>
  <pageMargins left="0.19685039370078741" right="0.19685039370078741" top="0.39370078740157483" bottom="0.39370078740157483" header="0" footer="0"/>
  <pageSetup paperSize="9" scale="40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74C4-5E77-4968-8467-0AC7E011C240}">
  <sheetPr>
    <pageSetUpPr fitToPage="1"/>
  </sheetPr>
  <dimension ref="A1:M60"/>
  <sheetViews>
    <sheetView view="pageBreakPreview" zoomScale="70" zoomScaleNormal="70" zoomScaleSheetLayoutView="70" workbookViewId="0">
      <selection activeCell="E27" sqref="E27"/>
    </sheetView>
  </sheetViews>
  <sheetFormatPr defaultColWidth="8.875" defaultRowHeight="16.5"/>
  <cols>
    <col min="1" max="1" width="8" style="1" customWidth="1"/>
    <col min="2" max="2" width="27.25" style="2" customWidth="1"/>
    <col min="3" max="3" width="41.5" style="2" customWidth="1"/>
    <col min="4" max="4" width="11.75" style="2" customWidth="1"/>
    <col min="5" max="5" width="80" style="3" bestFit="1" customWidth="1"/>
    <col min="6" max="9" width="10.625" style="2" customWidth="1"/>
    <col min="10" max="10" width="66.5" style="3" customWidth="1"/>
    <col min="11" max="11" width="19.125" style="2" customWidth="1"/>
    <col min="12" max="12" width="21" style="2" customWidth="1"/>
    <col min="13" max="13" width="34.75" style="1" customWidth="1"/>
    <col min="14" max="16384" width="8.875" style="1"/>
  </cols>
  <sheetData>
    <row r="1" spans="1:13" ht="69.75" customHeight="1" thickBot="1">
      <c r="A1" s="406" t="s">
        <v>501</v>
      </c>
      <c r="B1" s="407"/>
      <c r="C1" s="407"/>
      <c r="D1" s="407"/>
      <c r="E1" s="407"/>
      <c r="F1" s="408"/>
      <c r="G1" s="408"/>
      <c r="H1" s="408"/>
      <c r="I1" s="408"/>
      <c r="J1" s="408"/>
      <c r="K1" s="408"/>
      <c r="L1" s="408"/>
      <c r="M1" s="407"/>
    </row>
    <row r="2" spans="1:13" ht="42.75" customHeight="1">
      <c r="A2" s="32" t="s">
        <v>15</v>
      </c>
      <c r="B2" s="32" t="s">
        <v>0</v>
      </c>
      <c r="C2" s="33" t="s">
        <v>13</v>
      </c>
      <c r="D2" s="33" t="s">
        <v>11</v>
      </c>
      <c r="E2" s="72" t="s">
        <v>1</v>
      </c>
      <c r="F2" s="73" t="s">
        <v>16</v>
      </c>
      <c r="G2" s="428" t="s">
        <v>12</v>
      </c>
      <c r="H2" s="412"/>
      <c r="I2" s="39" t="s">
        <v>47</v>
      </c>
      <c r="J2" s="39" t="s">
        <v>18</v>
      </c>
      <c r="K2" s="39" t="s">
        <v>17</v>
      </c>
      <c r="L2" s="40" t="s">
        <v>21</v>
      </c>
      <c r="M2" s="46" t="s">
        <v>19</v>
      </c>
    </row>
    <row r="3" spans="1:13" s="10" customFormat="1" ht="40.5">
      <c r="A3" s="24" t="s">
        <v>14</v>
      </c>
      <c r="B3" s="429" t="str">
        <f>A38</f>
        <v>경영평가 "나"등급 이상</v>
      </c>
      <c r="C3" s="409" t="s">
        <v>270</v>
      </c>
      <c r="D3" s="170" t="s">
        <v>38</v>
      </c>
      <c r="E3" s="180" t="s">
        <v>179</v>
      </c>
      <c r="F3" s="174">
        <v>10</v>
      </c>
      <c r="G3" s="166" t="s">
        <v>224</v>
      </c>
      <c r="H3" s="167">
        <v>0.7</v>
      </c>
      <c r="I3" s="171">
        <v>7</v>
      </c>
      <c r="J3" s="172" t="s">
        <v>271</v>
      </c>
      <c r="K3" s="169" t="s">
        <v>272</v>
      </c>
      <c r="L3" s="176" t="s">
        <v>273</v>
      </c>
      <c r="M3" s="173" t="s">
        <v>274</v>
      </c>
    </row>
    <row r="4" spans="1:13" s="10" customFormat="1" ht="27">
      <c r="A4" s="24" t="s">
        <v>37</v>
      </c>
      <c r="B4" s="430"/>
      <c r="C4" s="409"/>
      <c r="D4" s="170" t="s">
        <v>38</v>
      </c>
      <c r="E4" s="180" t="s">
        <v>180</v>
      </c>
      <c r="F4" s="174">
        <v>10</v>
      </c>
      <c r="G4" s="168" t="s">
        <v>256</v>
      </c>
      <c r="H4" s="165">
        <v>1</v>
      </c>
      <c r="I4" s="171">
        <v>10</v>
      </c>
      <c r="J4" s="172" t="s">
        <v>275</v>
      </c>
      <c r="K4" s="169" t="s">
        <v>276</v>
      </c>
      <c r="L4" s="176" t="s">
        <v>277</v>
      </c>
      <c r="M4" s="173" t="s">
        <v>274</v>
      </c>
    </row>
    <row r="5" spans="1:13" s="10" customFormat="1" ht="27">
      <c r="A5" s="24" t="s">
        <v>2</v>
      </c>
      <c r="B5" s="430"/>
      <c r="C5" s="409"/>
      <c r="D5" s="170" t="s">
        <v>38</v>
      </c>
      <c r="E5" s="180" t="s">
        <v>181</v>
      </c>
      <c r="F5" s="174">
        <v>10</v>
      </c>
      <c r="G5" s="168" t="s">
        <v>256</v>
      </c>
      <c r="H5" s="167">
        <v>1</v>
      </c>
      <c r="I5" s="171">
        <v>10</v>
      </c>
      <c r="J5" s="172" t="s">
        <v>278</v>
      </c>
      <c r="K5" s="169" t="s">
        <v>279</v>
      </c>
      <c r="L5" s="176" t="s">
        <v>280</v>
      </c>
      <c r="M5" s="173" t="s">
        <v>281</v>
      </c>
    </row>
    <row r="6" spans="1:13" s="10" customFormat="1" ht="16.5" customHeight="1">
      <c r="A6" s="24" t="s">
        <v>3</v>
      </c>
      <c r="B6" s="430"/>
      <c r="C6" s="409"/>
      <c r="D6" s="170" t="s">
        <v>39</v>
      </c>
      <c r="E6" s="180" t="s">
        <v>182</v>
      </c>
      <c r="F6" s="174">
        <v>30</v>
      </c>
      <c r="G6" s="168" t="s">
        <v>224</v>
      </c>
      <c r="H6" s="167">
        <v>0.5</v>
      </c>
      <c r="I6" s="171">
        <v>15</v>
      </c>
      <c r="J6" s="172" t="s">
        <v>282</v>
      </c>
      <c r="K6" s="169" t="s">
        <v>283</v>
      </c>
      <c r="L6" s="176" t="s">
        <v>284</v>
      </c>
      <c r="M6" s="173" t="s">
        <v>285</v>
      </c>
    </row>
    <row r="7" spans="1:13" s="10" customFormat="1" ht="27">
      <c r="A7" s="24" t="s">
        <v>4</v>
      </c>
      <c r="B7" s="430"/>
      <c r="C7" s="429" t="s">
        <v>161</v>
      </c>
      <c r="D7" s="170" t="s">
        <v>38</v>
      </c>
      <c r="E7" s="180" t="s">
        <v>184</v>
      </c>
      <c r="F7" s="174">
        <v>10</v>
      </c>
      <c r="G7" s="168" t="s">
        <v>224</v>
      </c>
      <c r="H7" s="165">
        <v>0.5</v>
      </c>
      <c r="I7" s="171">
        <v>5</v>
      </c>
      <c r="J7" s="172" t="s">
        <v>286</v>
      </c>
      <c r="K7" s="169" t="s">
        <v>287</v>
      </c>
      <c r="L7" s="176" t="s">
        <v>288</v>
      </c>
      <c r="M7" s="173" t="s">
        <v>281</v>
      </c>
    </row>
    <row r="8" spans="1:13" s="10" customFormat="1">
      <c r="A8" s="24" t="s">
        <v>5</v>
      </c>
      <c r="B8" s="430"/>
      <c r="C8" s="431"/>
      <c r="D8" s="170" t="s">
        <v>39</v>
      </c>
      <c r="E8" s="180" t="s">
        <v>185</v>
      </c>
      <c r="F8" s="174">
        <v>10</v>
      </c>
      <c r="G8" s="168" t="s">
        <v>256</v>
      </c>
      <c r="H8" s="167">
        <v>1</v>
      </c>
      <c r="I8" s="171">
        <v>10</v>
      </c>
      <c r="J8" s="172" t="s">
        <v>289</v>
      </c>
      <c r="K8" s="169" t="s">
        <v>290</v>
      </c>
      <c r="L8" s="176" t="s">
        <v>291</v>
      </c>
      <c r="M8" s="173" t="s">
        <v>281</v>
      </c>
    </row>
    <row r="9" spans="1:13" s="10" customFormat="1" ht="16.5" customHeight="1" thickBot="1">
      <c r="A9" s="24" t="s">
        <v>6</v>
      </c>
      <c r="B9" s="430"/>
      <c r="C9" s="170" t="s">
        <v>292</v>
      </c>
      <c r="D9" s="170" t="s">
        <v>38</v>
      </c>
      <c r="E9" s="180" t="s">
        <v>146</v>
      </c>
      <c r="F9" s="177">
        <v>10</v>
      </c>
      <c r="G9" s="183" t="s">
        <v>224</v>
      </c>
      <c r="H9" s="178">
        <v>0.5</v>
      </c>
      <c r="I9" s="175">
        <v>5</v>
      </c>
      <c r="J9" s="181" t="s">
        <v>293</v>
      </c>
      <c r="K9" s="179" t="s">
        <v>294</v>
      </c>
      <c r="L9" s="182" t="s">
        <v>295</v>
      </c>
      <c r="M9" s="173" t="s">
        <v>274</v>
      </c>
    </row>
    <row r="10" spans="1:13">
      <c r="C10" s="20"/>
      <c r="D10" s="20"/>
      <c r="E10" s="21"/>
      <c r="J10" s="21"/>
      <c r="K10" s="20"/>
      <c r="L10" s="20"/>
      <c r="M10" s="19"/>
    </row>
    <row r="11" spans="1:13">
      <c r="C11" s="20"/>
      <c r="D11" s="20"/>
      <c r="E11" s="21"/>
      <c r="J11" s="21"/>
      <c r="K11" s="20"/>
      <c r="L11" s="20"/>
      <c r="M11" s="19"/>
    </row>
    <row r="12" spans="1:13">
      <c r="C12" s="20"/>
      <c r="D12" s="20"/>
      <c r="E12" s="21"/>
      <c r="J12" s="21"/>
      <c r="K12" s="20"/>
      <c r="L12" s="20"/>
      <c r="M12" s="19"/>
    </row>
    <row r="13" spans="1:13">
      <c r="C13" s="20"/>
      <c r="D13" s="20"/>
      <c r="E13" s="21"/>
      <c r="J13" s="21"/>
      <c r="K13" s="20"/>
      <c r="L13" s="20"/>
      <c r="M13" s="19"/>
    </row>
    <row r="14" spans="1:13">
      <c r="C14" s="20"/>
      <c r="D14" s="20"/>
      <c r="E14" s="21"/>
      <c r="F14" s="16" t="s">
        <v>46</v>
      </c>
      <c r="G14" s="16" t="s">
        <v>47</v>
      </c>
      <c r="H14" s="413" t="s">
        <v>48</v>
      </c>
      <c r="I14" s="414"/>
      <c r="J14" s="21"/>
      <c r="K14" s="20"/>
      <c r="L14" s="20"/>
      <c r="M14" s="19"/>
    </row>
    <row r="15" spans="1:13">
      <c r="C15" s="20"/>
      <c r="D15" s="20"/>
      <c r="E15" s="21"/>
      <c r="F15" s="16">
        <f>SUM(F3:F9)</f>
        <v>90</v>
      </c>
      <c r="G15" s="29">
        <f>SUM(I3:I9)</f>
        <v>62</v>
      </c>
      <c r="H15" s="415">
        <f>G15/F15*100</f>
        <v>68.888888888888886</v>
      </c>
      <c r="I15" s="416"/>
      <c r="J15" s="21"/>
      <c r="K15" s="20"/>
      <c r="L15" s="20"/>
      <c r="M15" s="19"/>
    </row>
    <row r="16" spans="1:13">
      <c r="C16" s="20"/>
      <c r="D16" s="20"/>
      <c r="E16" s="21"/>
      <c r="F16" s="433" t="s">
        <v>415</v>
      </c>
      <c r="G16" s="433"/>
      <c r="H16" s="432">
        <f>AVERAGE($H$3:H11)</f>
        <v>0.74285714285714288</v>
      </c>
      <c r="I16" s="432"/>
      <c r="J16" s="21"/>
      <c r="K16" s="20"/>
      <c r="L16" s="20"/>
      <c r="M16" s="19"/>
    </row>
    <row r="17" spans="3:13">
      <c r="C17" s="20"/>
      <c r="D17" s="20"/>
      <c r="E17" s="21"/>
      <c r="J17" s="21"/>
      <c r="K17" s="20"/>
      <c r="L17" s="20"/>
      <c r="M17" s="19"/>
    </row>
    <row r="18" spans="3:13">
      <c r="C18" s="20"/>
      <c r="D18" s="20"/>
      <c r="E18" s="21"/>
      <c r="J18" s="21"/>
      <c r="K18" s="20"/>
      <c r="L18" s="20"/>
      <c r="M18" s="19"/>
    </row>
    <row r="19" spans="3:13">
      <c r="C19" s="20"/>
      <c r="D19" s="20"/>
      <c r="E19" s="21"/>
      <c r="J19" s="21"/>
      <c r="K19" s="20"/>
      <c r="L19" s="20"/>
      <c r="M19" s="19"/>
    </row>
    <row r="20" spans="3:13">
      <c r="C20" s="20"/>
      <c r="D20" s="20"/>
      <c r="E20" s="21"/>
      <c r="J20" s="21"/>
      <c r="K20" s="20"/>
      <c r="L20" s="20"/>
      <c r="M20" s="19"/>
    </row>
    <row r="21" spans="3:13">
      <c r="C21" s="20"/>
      <c r="D21" s="20"/>
      <c r="E21" s="21"/>
      <c r="J21" s="21"/>
      <c r="K21" s="20"/>
      <c r="L21" s="20"/>
      <c r="M21" s="19"/>
    </row>
    <row r="22" spans="3:13">
      <c r="C22" s="20"/>
      <c r="D22" s="20"/>
      <c r="E22" s="21"/>
      <c r="J22" s="21"/>
      <c r="K22" s="20"/>
      <c r="L22" s="20"/>
      <c r="M22" s="19"/>
    </row>
    <row r="23" spans="3:13">
      <c r="C23" s="20"/>
      <c r="D23" s="20"/>
      <c r="E23" s="21"/>
      <c r="J23" s="21"/>
      <c r="K23" s="20"/>
      <c r="L23" s="20"/>
      <c r="M23" s="19"/>
    </row>
    <row r="24" spans="3:13">
      <c r="C24" s="20"/>
      <c r="D24" s="20"/>
      <c r="E24" s="21"/>
      <c r="J24" s="21"/>
      <c r="K24" s="20"/>
      <c r="L24" s="20"/>
      <c r="M24" s="19"/>
    </row>
    <row r="25" spans="3:13">
      <c r="C25" s="20"/>
      <c r="D25" s="20"/>
      <c r="E25" s="21"/>
      <c r="J25" s="21"/>
      <c r="K25" s="20"/>
      <c r="L25" s="20"/>
      <c r="M25" s="19"/>
    </row>
    <row r="26" spans="3:13">
      <c r="C26" s="20"/>
      <c r="D26" s="20"/>
      <c r="E26" s="21"/>
      <c r="J26" s="21"/>
      <c r="K26" s="20"/>
      <c r="L26" s="20"/>
      <c r="M26" s="19"/>
    </row>
    <row r="27" spans="3:13">
      <c r="C27" s="20"/>
      <c r="D27" s="20"/>
      <c r="E27" s="21"/>
      <c r="J27" s="21"/>
      <c r="K27" s="20"/>
      <c r="L27" s="20"/>
      <c r="M27" s="19"/>
    </row>
    <row r="28" spans="3:13">
      <c r="C28" s="20"/>
      <c r="D28" s="20"/>
      <c r="E28" s="21"/>
      <c r="J28" s="21"/>
      <c r="K28" s="20"/>
      <c r="L28" s="20"/>
      <c r="M28" s="19"/>
    </row>
    <row r="29" spans="3:13">
      <c r="C29" s="20"/>
      <c r="D29" s="20"/>
      <c r="E29" s="21"/>
      <c r="J29" s="21"/>
      <c r="K29" s="20"/>
      <c r="L29" s="20"/>
      <c r="M29" s="19"/>
    </row>
    <row r="30" spans="3:13">
      <c r="C30" s="20"/>
      <c r="D30" s="20"/>
      <c r="E30" s="21"/>
      <c r="J30" s="21"/>
      <c r="K30" s="20"/>
      <c r="L30" s="20"/>
      <c r="M30" s="19"/>
    </row>
    <row r="31" spans="3:13">
      <c r="C31" s="20"/>
      <c r="D31" s="20"/>
      <c r="E31" s="21"/>
      <c r="J31" s="21"/>
      <c r="K31" s="20"/>
      <c r="L31" s="20"/>
      <c r="M31" s="19"/>
    </row>
    <row r="32" spans="3:13">
      <c r="C32" s="92"/>
      <c r="E32" s="21"/>
      <c r="J32" s="21"/>
      <c r="K32" s="20"/>
      <c r="L32" s="20"/>
      <c r="M32" s="19"/>
    </row>
    <row r="33" spans="1:13" ht="16.5" customHeight="1">
      <c r="C33" s="410" t="s">
        <v>188</v>
      </c>
      <c r="D33" s="26" t="s">
        <v>38</v>
      </c>
      <c r="E33" s="21"/>
      <c r="J33" s="21"/>
      <c r="K33" s="20"/>
      <c r="L33" s="20"/>
      <c r="M33" s="19"/>
    </row>
    <row r="34" spans="1:13">
      <c r="C34" s="410"/>
      <c r="D34" s="26">
        <f>COUNTIF(D3:D32,$D$33)</f>
        <v>5</v>
      </c>
    </row>
    <row r="35" spans="1:13">
      <c r="C35" s="410"/>
      <c r="D35" s="26" t="s">
        <v>187</v>
      </c>
    </row>
    <row r="36" spans="1:13">
      <c r="C36" s="411"/>
      <c r="D36" s="26">
        <f>COUNTIF(D3:D34,$D$35)</f>
        <v>2</v>
      </c>
    </row>
    <row r="37" spans="1:13">
      <c r="A37" s="381" t="s">
        <v>63</v>
      </c>
      <c r="B37" s="381"/>
      <c r="C37" s="381" t="s">
        <v>186</v>
      </c>
      <c r="D37" s="381"/>
    </row>
    <row r="38" spans="1:13">
      <c r="A38" s="382" t="s">
        <v>153</v>
      </c>
      <c r="B38" s="382">
        <f>SUMPRODUCT(--(LOOKUP(ROW($B$2:$B$9),ROW($B$2:$B$9)/($B$2:$B$9&lt;&gt;""),$B$2:$B$9)=A38))</f>
        <v>7</v>
      </c>
      <c r="C38" s="85" t="s">
        <v>157</v>
      </c>
      <c r="D38" s="86">
        <f t="shared" ref="D38:D59" si="0">SUMPRODUCT(--(LOOKUP(ROW($C$2:$C$9),ROW($C$2:$C$9)/($C$2:$C$9&lt;&gt;""),$C$2:$C$9)=C38))</f>
        <v>0</v>
      </c>
      <c r="E38" s="239">
        <f>SUM(D38:D43)-B38</f>
        <v>0</v>
      </c>
    </row>
    <row r="39" spans="1:13" ht="16.5" customHeight="1">
      <c r="A39" s="382"/>
      <c r="B39" s="382"/>
      <c r="C39" s="85" t="s">
        <v>158</v>
      </c>
      <c r="D39" s="86">
        <f t="shared" si="0"/>
        <v>4</v>
      </c>
      <c r="E39" s="239"/>
    </row>
    <row r="40" spans="1:13">
      <c r="A40" s="382"/>
      <c r="B40" s="382"/>
      <c r="C40" s="85" t="s">
        <v>159</v>
      </c>
      <c r="D40" s="86">
        <f t="shared" si="0"/>
        <v>0</v>
      </c>
      <c r="E40" s="239"/>
    </row>
    <row r="41" spans="1:13">
      <c r="A41" s="382"/>
      <c r="B41" s="382"/>
      <c r="C41" s="85" t="s">
        <v>160</v>
      </c>
      <c r="D41" s="86">
        <f t="shared" si="0"/>
        <v>1</v>
      </c>
      <c r="E41" s="239"/>
    </row>
    <row r="42" spans="1:13">
      <c r="A42" s="382"/>
      <c r="B42" s="382"/>
      <c r="C42" s="85" t="s">
        <v>161</v>
      </c>
      <c r="D42" s="86">
        <f t="shared" si="0"/>
        <v>2</v>
      </c>
      <c r="E42" s="239"/>
    </row>
    <row r="43" spans="1:13">
      <c r="A43" s="382"/>
      <c r="B43" s="382"/>
      <c r="C43" s="85" t="s">
        <v>162</v>
      </c>
      <c r="D43" s="86">
        <f t="shared" si="0"/>
        <v>0</v>
      </c>
      <c r="E43" s="239"/>
    </row>
    <row r="44" spans="1:13" s="3" customFormat="1" ht="16.5" customHeight="1">
      <c r="A44" s="382" t="s">
        <v>154</v>
      </c>
      <c r="B44" s="382">
        <f>SUMPRODUCT(--(LOOKUP(ROW($B$2:$B$9),ROW($B$2:$B$9)/($B$2:$B$9&lt;&gt;""),$B$2:$B$9)=A44))</f>
        <v>0</v>
      </c>
      <c r="C44" s="85" t="s">
        <v>163</v>
      </c>
      <c r="D44" s="86">
        <f t="shared" si="0"/>
        <v>0</v>
      </c>
      <c r="E44" s="239">
        <f>SUM(D44:D48)-B44</f>
        <v>0</v>
      </c>
      <c r="F44" s="2"/>
      <c r="G44" s="2"/>
      <c r="H44" s="2"/>
      <c r="I44" s="2"/>
      <c r="K44" s="2"/>
      <c r="L44" s="2"/>
      <c r="M44" s="1"/>
    </row>
    <row r="45" spans="1:13" s="3" customFormat="1">
      <c r="A45" s="382"/>
      <c r="B45" s="382"/>
      <c r="C45" s="85" t="s">
        <v>164</v>
      </c>
      <c r="D45" s="86">
        <f t="shared" si="0"/>
        <v>0</v>
      </c>
      <c r="E45" s="239"/>
      <c r="F45" s="2"/>
      <c r="G45" s="2"/>
      <c r="H45" s="2"/>
      <c r="I45" s="2"/>
      <c r="K45" s="2"/>
      <c r="L45" s="2"/>
      <c r="M45" s="1"/>
    </row>
    <row r="46" spans="1:13" s="3" customFormat="1">
      <c r="A46" s="382"/>
      <c r="B46" s="382"/>
      <c r="C46" s="85" t="s">
        <v>165</v>
      </c>
      <c r="D46" s="86">
        <f t="shared" si="0"/>
        <v>0</v>
      </c>
      <c r="E46" s="239"/>
      <c r="F46" s="2"/>
      <c r="G46" s="2"/>
      <c r="H46" s="2"/>
      <c r="I46" s="2"/>
      <c r="K46" s="2"/>
      <c r="L46" s="2"/>
      <c r="M46" s="1"/>
    </row>
    <row r="47" spans="1:13" s="3" customFormat="1">
      <c r="A47" s="382"/>
      <c r="B47" s="382"/>
      <c r="C47" s="85" t="s">
        <v>166</v>
      </c>
      <c r="D47" s="86">
        <f t="shared" si="0"/>
        <v>0</v>
      </c>
      <c r="E47" s="239"/>
      <c r="F47" s="2"/>
      <c r="G47" s="2"/>
      <c r="H47" s="2"/>
      <c r="I47" s="2"/>
      <c r="K47" s="2"/>
      <c r="L47" s="2"/>
      <c r="M47" s="1"/>
    </row>
    <row r="48" spans="1:13" s="3" customFormat="1">
      <c r="A48" s="382"/>
      <c r="B48" s="382"/>
      <c r="C48" s="85" t="s">
        <v>167</v>
      </c>
      <c r="D48" s="86">
        <f t="shared" si="0"/>
        <v>0</v>
      </c>
      <c r="E48" s="239"/>
      <c r="F48" s="2"/>
      <c r="G48" s="2"/>
      <c r="H48" s="2"/>
      <c r="I48" s="2"/>
      <c r="K48" s="2"/>
      <c r="L48" s="2"/>
      <c r="M48" s="1"/>
    </row>
    <row r="49" spans="1:13" s="3" customFormat="1" ht="16.5" customHeight="1">
      <c r="A49" s="382" t="s">
        <v>156</v>
      </c>
      <c r="B49" s="382">
        <f>SUMPRODUCT(--(LOOKUP(ROW($B$2:$B$9),ROW($B$2:$B$9)/($B$2:$B$9&lt;&gt;""),$B$2:$B$9)=A49))</f>
        <v>0</v>
      </c>
      <c r="C49" s="85" t="s">
        <v>168</v>
      </c>
      <c r="D49" s="86">
        <f t="shared" si="0"/>
        <v>0</v>
      </c>
      <c r="E49" s="3">
        <f>SUM(D49:D53)-B49</f>
        <v>0</v>
      </c>
      <c r="F49" s="2"/>
      <c r="G49" s="2"/>
      <c r="H49" s="2"/>
      <c r="I49" s="2"/>
      <c r="K49" s="2"/>
      <c r="L49" s="2"/>
      <c r="M49" s="1"/>
    </row>
    <row r="50" spans="1:13" s="3" customFormat="1">
      <c r="A50" s="382"/>
      <c r="B50" s="382"/>
      <c r="C50" s="85" t="s">
        <v>169</v>
      </c>
      <c r="D50" s="86">
        <f t="shared" si="0"/>
        <v>0</v>
      </c>
      <c r="F50" s="2"/>
      <c r="G50" s="2"/>
      <c r="H50" s="2"/>
      <c r="I50" s="2"/>
      <c r="K50" s="2"/>
      <c r="L50" s="2"/>
      <c r="M50" s="1"/>
    </row>
    <row r="51" spans="1:13" s="3" customFormat="1">
      <c r="A51" s="382"/>
      <c r="B51" s="382"/>
      <c r="C51" s="85" t="s">
        <v>170</v>
      </c>
      <c r="D51" s="86">
        <f t="shared" si="0"/>
        <v>0</v>
      </c>
      <c r="F51" s="2"/>
      <c r="G51" s="2"/>
      <c r="H51" s="2"/>
      <c r="I51" s="2"/>
      <c r="K51" s="2"/>
      <c r="L51" s="2"/>
      <c r="M51" s="1"/>
    </row>
    <row r="52" spans="1:13" s="3" customFormat="1">
      <c r="A52" s="382"/>
      <c r="B52" s="382"/>
      <c r="C52" s="85" t="s">
        <v>178</v>
      </c>
      <c r="D52" s="86">
        <f t="shared" si="0"/>
        <v>0</v>
      </c>
      <c r="F52" s="2"/>
      <c r="G52" s="2"/>
      <c r="H52" s="2"/>
      <c r="I52" s="2"/>
      <c r="K52" s="2"/>
      <c r="L52" s="2"/>
      <c r="M52" s="1"/>
    </row>
    <row r="53" spans="1:13" s="3" customFormat="1">
      <c r="A53" s="382"/>
      <c r="B53" s="382"/>
      <c r="C53" s="85" t="s">
        <v>171</v>
      </c>
      <c r="D53" s="86">
        <f t="shared" si="0"/>
        <v>0</v>
      </c>
      <c r="F53" s="2"/>
      <c r="G53" s="2"/>
      <c r="H53" s="2"/>
      <c r="I53" s="2"/>
      <c r="K53" s="2"/>
      <c r="L53" s="2"/>
      <c r="M53" s="1"/>
    </row>
    <row r="54" spans="1:13" s="3" customFormat="1">
      <c r="A54" s="382" t="s">
        <v>155</v>
      </c>
      <c r="B54" s="382">
        <f>SUMPRODUCT(--(LOOKUP(ROW($B$2:$B$9),ROW($B$2:$B$9)/($B$2:$B$9&lt;&gt;""),$B$2:$B$9)=A54))</f>
        <v>0</v>
      </c>
      <c r="C54" s="85" t="s">
        <v>172</v>
      </c>
      <c r="D54" s="86">
        <f t="shared" si="0"/>
        <v>0</v>
      </c>
      <c r="E54" s="3">
        <f>SUM(D54:D59)-B54</f>
        <v>0</v>
      </c>
      <c r="F54" s="2"/>
      <c r="G54" s="2"/>
      <c r="H54" s="2"/>
      <c r="I54" s="2"/>
      <c r="K54" s="2"/>
      <c r="L54" s="2"/>
      <c r="M54" s="1"/>
    </row>
    <row r="55" spans="1:13" s="3" customFormat="1">
      <c r="A55" s="382"/>
      <c r="B55" s="382"/>
      <c r="C55" s="85" t="s">
        <v>173</v>
      </c>
      <c r="D55" s="86">
        <f t="shared" si="0"/>
        <v>0</v>
      </c>
      <c r="F55" s="2"/>
      <c r="G55" s="2"/>
      <c r="H55" s="2"/>
      <c r="I55" s="2"/>
      <c r="K55" s="2"/>
      <c r="L55" s="2"/>
      <c r="M55" s="1"/>
    </row>
    <row r="56" spans="1:13">
      <c r="A56" s="382"/>
      <c r="B56" s="382"/>
      <c r="C56" s="85" t="s">
        <v>174</v>
      </c>
      <c r="D56" s="86">
        <f t="shared" si="0"/>
        <v>0</v>
      </c>
    </row>
    <row r="57" spans="1:13">
      <c r="A57" s="382"/>
      <c r="B57" s="382"/>
      <c r="C57" s="85" t="s">
        <v>175</v>
      </c>
      <c r="D57" s="86">
        <f t="shared" si="0"/>
        <v>0</v>
      </c>
    </row>
    <row r="58" spans="1:13">
      <c r="A58" s="382"/>
      <c r="B58" s="382"/>
      <c r="C58" s="85" t="s">
        <v>176</v>
      </c>
      <c r="D58" s="86">
        <f t="shared" si="0"/>
        <v>0</v>
      </c>
    </row>
    <row r="59" spans="1:13">
      <c r="A59" s="382"/>
      <c r="B59" s="382"/>
      <c r="C59" s="85" t="s">
        <v>177</v>
      </c>
      <c r="D59" s="86">
        <f t="shared" si="0"/>
        <v>0</v>
      </c>
    </row>
    <row r="60" spans="1:13">
      <c r="B60" s="2">
        <f>SUM(B38:B59)</f>
        <v>7</v>
      </c>
      <c r="D60" s="2">
        <f>SUM(D38:D59)</f>
        <v>7</v>
      </c>
    </row>
  </sheetData>
  <mergeCells count="20">
    <mergeCell ref="H16:I16"/>
    <mergeCell ref="F16:G16"/>
    <mergeCell ref="B49:B53"/>
    <mergeCell ref="A54:A59"/>
    <mergeCell ref="B54:B59"/>
    <mergeCell ref="C33:C36"/>
    <mergeCell ref="A37:B37"/>
    <mergeCell ref="C37:D37"/>
    <mergeCell ref="A38:A43"/>
    <mergeCell ref="B38:B43"/>
    <mergeCell ref="A49:A53"/>
    <mergeCell ref="A44:A48"/>
    <mergeCell ref="B44:B48"/>
    <mergeCell ref="H14:I14"/>
    <mergeCell ref="H15:I15"/>
    <mergeCell ref="A1:M1"/>
    <mergeCell ref="G2:H2"/>
    <mergeCell ref="B3:B9"/>
    <mergeCell ref="C7:C8"/>
    <mergeCell ref="C3:C6"/>
  </mergeCells>
  <phoneticPr fontId="1" type="noConversion"/>
  <pageMargins left="0.19685039370078741" right="0.19685039370078741" top="0.39370078740157483" bottom="0.39370078740157483" header="0" footer="0"/>
  <pageSetup paperSize="9" scale="3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E67F-318A-440C-961C-A1622FF9836D}">
  <sheetPr>
    <pageSetUpPr fitToPage="1"/>
  </sheetPr>
  <dimension ref="A1:M59"/>
  <sheetViews>
    <sheetView view="pageBreakPreview" topLeftCell="A28" zoomScale="85" zoomScaleNormal="70" zoomScaleSheetLayoutView="85" workbookViewId="0">
      <selection activeCell="E31" sqref="E31"/>
    </sheetView>
  </sheetViews>
  <sheetFormatPr defaultColWidth="8.875" defaultRowHeight="16.5"/>
  <cols>
    <col min="1" max="1" width="8" style="274" customWidth="1"/>
    <col min="2" max="2" width="27.25" style="275" customWidth="1"/>
    <col min="3" max="3" width="41.5" style="275" customWidth="1"/>
    <col min="4" max="4" width="11.75" style="275" customWidth="1"/>
    <col min="5" max="5" width="80" style="3" bestFit="1" customWidth="1"/>
    <col min="6" max="9" width="10.625" style="275" customWidth="1"/>
    <col min="10" max="10" width="66.5" style="3" customWidth="1"/>
    <col min="11" max="11" width="19.125" style="275" customWidth="1"/>
    <col min="12" max="12" width="21" style="275" customWidth="1"/>
    <col min="13" max="13" width="34.75" style="274" customWidth="1"/>
    <col min="14" max="16384" width="8.875" style="274"/>
  </cols>
  <sheetData>
    <row r="1" spans="1:13" ht="69.75" customHeight="1" thickBot="1">
      <c r="A1" s="406" t="s">
        <v>209</v>
      </c>
      <c r="B1" s="407"/>
      <c r="C1" s="407"/>
      <c r="D1" s="407"/>
      <c r="E1" s="407"/>
      <c r="F1" s="408"/>
      <c r="G1" s="408"/>
      <c r="H1" s="408"/>
      <c r="I1" s="408"/>
      <c r="J1" s="408"/>
      <c r="K1" s="408"/>
      <c r="L1" s="408"/>
      <c r="M1" s="407"/>
    </row>
    <row r="2" spans="1:13" ht="42.75" customHeight="1">
      <c r="A2" s="32" t="s">
        <v>15</v>
      </c>
      <c r="B2" s="32" t="s">
        <v>0</v>
      </c>
      <c r="C2" s="33" t="s">
        <v>13</v>
      </c>
      <c r="D2" s="33" t="s">
        <v>11</v>
      </c>
      <c r="E2" s="72" t="s">
        <v>1</v>
      </c>
      <c r="F2" s="73" t="s">
        <v>16</v>
      </c>
      <c r="G2" s="428" t="s">
        <v>12</v>
      </c>
      <c r="H2" s="412"/>
      <c r="I2" s="162" t="s">
        <v>47</v>
      </c>
      <c r="J2" s="162" t="s">
        <v>18</v>
      </c>
      <c r="K2" s="162" t="s">
        <v>17</v>
      </c>
      <c r="L2" s="40" t="s">
        <v>21</v>
      </c>
      <c r="M2" s="46" t="s">
        <v>19</v>
      </c>
    </row>
    <row r="3" spans="1:13" s="10" customFormat="1">
      <c r="A3" s="294" t="s">
        <v>14</v>
      </c>
      <c r="B3" s="434" t="str">
        <f>A37</f>
        <v>경영평가 "나"등급 이상</v>
      </c>
      <c r="C3" s="164" t="str">
        <f>C37</f>
        <v>엄정한 지휘체계 확립</v>
      </c>
      <c r="D3" s="164" t="s">
        <v>39</v>
      </c>
      <c r="E3" s="295" t="s">
        <v>107</v>
      </c>
      <c r="F3" s="283">
        <v>10</v>
      </c>
      <c r="G3" s="292" t="s">
        <v>59</v>
      </c>
      <c r="H3" s="293">
        <v>0</v>
      </c>
      <c r="I3" s="281">
        <f>F3*H3</f>
        <v>0</v>
      </c>
      <c r="J3" s="282"/>
      <c r="K3" s="280"/>
      <c r="L3" s="287"/>
      <c r="M3" s="282"/>
    </row>
    <row r="4" spans="1:13" s="10" customFormat="1">
      <c r="A4" s="294" t="s">
        <v>20</v>
      </c>
      <c r="B4" s="435"/>
      <c r="C4" s="164" t="str">
        <f>C38</f>
        <v>중장기경영 전략계획 수립</v>
      </c>
      <c r="D4" s="164" t="s">
        <v>38</v>
      </c>
      <c r="E4" s="295" t="s">
        <v>380</v>
      </c>
      <c r="F4" s="283">
        <v>10</v>
      </c>
      <c r="G4" s="277" t="s">
        <v>59</v>
      </c>
      <c r="H4" s="278">
        <v>0</v>
      </c>
      <c r="I4" s="281">
        <f t="shared" ref="I4:I16" si="0">F4*H4</f>
        <v>0</v>
      </c>
      <c r="J4" s="282"/>
      <c r="K4" s="280"/>
      <c r="L4" s="287"/>
      <c r="M4" s="282"/>
    </row>
    <row r="5" spans="1:13" s="10" customFormat="1">
      <c r="A5" s="294" t="s">
        <v>36</v>
      </c>
      <c r="B5" s="436"/>
      <c r="C5" s="296" t="str">
        <f>C42</f>
        <v xml:space="preserve"> 지역사회공헌 확대</v>
      </c>
      <c r="D5" s="164" t="s">
        <v>187</v>
      </c>
      <c r="E5" s="295" t="s">
        <v>381</v>
      </c>
      <c r="F5" s="283">
        <v>10</v>
      </c>
      <c r="G5" s="277" t="s">
        <v>59</v>
      </c>
      <c r="H5" s="278">
        <v>0</v>
      </c>
      <c r="I5" s="281">
        <f t="shared" si="0"/>
        <v>0</v>
      </c>
      <c r="J5" s="282"/>
      <c r="K5" s="280"/>
      <c r="L5" s="287"/>
      <c r="M5" s="282"/>
    </row>
    <row r="6" spans="1:13" s="10" customFormat="1">
      <c r="A6" s="294" t="s">
        <v>35</v>
      </c>
      <c r="B6" s="434" t="str">
        <f>A43</f>
        <v>노사화합 청렴도 우수 등급</v>
      </c>
      <c r="C6" s="296" t="str">
        <f>C43</f>
        <v xml:space="preserve"> 합리적인 조직관리</v>
      </c>
      <c r="D6" s="164" t="s">
        <v>187</v>
      </c>
      <c r="E6" s="295" t="s">
        <v>382</v>
      </c>
      <c r="F6" s="283">
        <v>10</v>
      </c>
      <c r="G6" s="277" t="s">
        <v>224</v>
      </c>
      <c r="H6" s="278">
        <v>0</v>
      </c>
      <c r="I6" s="281">
        <f t="shared" si="0"/>
        <v>0</v>
      </c>
      <c r="J6" s="282"/>
      <c r="K6" s="280"/>
      <c r="L6" s="287"/>
      <c r="M6" s="282"/>
    </row>
    <row r="7" spans="1:13" s="10" customFormat="1" ht="54">
      <c r="A7" s="294" t="s">
        <v>4</v>
      </c>
      <c r="B7" s="435"/>
      <c r="C7" s="434" t="str">
        <f>C45</f>
        <v xml:space="preserve"> 노사·노노간 상생문화 구축</v>
      </c>
      <c r="D7" s="164" t="s">
        <v>38</v>
      </c>
      <c r="E7" s="295" t="s">
        <v>108</v>
      </c>
      <c r="F7" s="283">
        <v>5</v>
      </c>
      <c r="G7" s="277" t="s">
        <v>60</v>
      </c>
      <c r="H7" s="278">
        <v>1</v>
      </c>
      <c r="I7" s="281">
        <f t="shared" si="0"/>
        <v>5</v>
      </c>
      <c r="J7" s="282" t="s">
        <v>383</v>
      </c>
      <c r="K7" s="280" t="s">
        <v>384</v>
      </c>
      <c r="L7" s="287" t="s">
        <v>385</v>
      </c>
      <c r="M7" s="282" t="s">
        <v>386</v>
      </c>
    </row>
    <row r="8" spans="1:13" s="10" customFormat="1">
      <c r="A8" s="294" t="s">
        <v>5</v>
      </c>
      <c r="B8" s="435"/>
      <c r="C8" s="435"/>
      <c r="D8" s="164" t="s">
        <v>39</v>
      </c>
      <c r="E8" s="295" t="s">
        <v>109</v>
      </c>
      <c r="F8" s="283">
        <v>10</v>
      </c>
      <c r="G8" s="279" t="s">
        <v>59</v>
      </c>
      <c r="H8" s="276">
        <v>0</v>
      </c>
      <c r="I8" s="281">
        <f t="shared" si="0"/>
        <v>0</v>
      </c>
      <c r="J8" s="282"/>
      <c r="K8" s="280"/>
      <c r="L8" s="287"/>
      <c r="M8" s="282"/>
    </row>
    <row r="9" spans="1:13" s="10" customFormat="1">
      <c r="A9" s="294" t="s">
        <v>6</v>
      </c>
      <c r="B9" s="435"/>
      <c r="C9" s="435"/>
      <c r="D9" s="164" t="s">
        <v>38</v>
      </c>
      <c r="E9" s="295" t="s">
        <v>145</v>
      </c>
      <c r="F9" s="283">
        <v>5</v>
      </c>
      <c r="G9" s="279" t="s">
        <v>60</v>
      </c>
      <c r="H9" s="278">
        <v>1</v>
      </c>
      <c r="I9" s="281">
        <f t="shared" si="0"/>
        <v>5</v>
      </c>
      <c r="J9" s="282" t="s">
        <v>387</v>
      </c>
      <c r="K9" s="282" t="s">
        <v>388</v>
      </c>
      <c r="L9" s="287" t="s">
        <v>389</v>
      </c>
      <c r="M9" s="282" t="s">
        <v>390</v>
      </c>
    </row>
    <row r="10" spans="1:13" s="10" customFormat="1" ht="27">
      <c r="A10" s="294" t="s">
        <v>7</v>
      </c>
      <c r="B10" s="435"/>
      <c r="C10" s="436"/>
      <c r="D10" s="164" t="s">
        <v>38</v>
      </c>
      <c r="E10" s="295" t="s">
        <v>110</v>
      </c>
      <c r="F10" s="283">
        <v>10</v>
      </c>
      <c r="G10" s="279" t="s">
        <v>60</v>
      </c>
      <c r="H10" s="278">
        <v>1</v>
      </c>
      <c r="I10" s="281">
        <f t="shared" si="0"/>
        <v>10</v>
      </c>
      <c r="J10" s="282" t="s">
        <v>391</v>
      </c>
      <c r="K10" s="280" t="s">
        <v>392</v>
      </c>
      <c r="L10" s="287" t="s">
        <v>393</v>
      </c>
      <c r="M10" s="282" t="s">
        <v>394</v>
      </c>
    </row>
    <row r="11" spans="1:13" s="10" customFormat="1" ht="67.5">
      <c r="A11" s="294" t="s">
        <v>8</v>
      </c>
      <c r="B11" s="435"/>
      <c r="C11" s="434" t="str">
        <f>C46</f>
        <v xml:space="preserve"> 환경직 복리후생 점검 및 개선</v>
      </c>
      <c r="D11" s="164" t="s">
        <v>38</v>
      </c>
      <c r="E11" s="295" t="s">
        <v>113</v>
      </c>
      <c r="F11" s="284">
        <v>5</v>
      </c>
      <c r="G11" s="277" t="s">
        <v>60</v>
      </c>
      <c r="H11" s="278">
        <v>1</v>
      </c>
      <c r="I11" s="281">
        <f>F11*H11</f>
        <v>5</v>
      </c>
      <c r="J11" s="282" t="s">
        <v>395</v>
      </c>
      <c r="K11" s="280" t="s">
        <v>396</v>
      </c>
      <c r="L11" s="287" t="s">
        <v>397</v>
      </c>
      <c r="M11" s="282" t="s">
        <v>398</v>
      </c>
    </row>
    <row r="12" spans="1:13" s="10" customFormat="1" ht="67.5">
      <c r="A12" s="294" t="s">
        <v>22</v>
      </c>
      <c r="B12" s="436"/>
      <c r="C12" s="436"/>
      <c r="D12" s="164" t="s">
        <v>39</v>
      </c>
      <c r="E12" s="295" t="s">
        <v>114</v>
      </c>
      <c r="F12" s="285">
        <v>10</v>
      </c>
      <c r="G12" s="277" t="s">
        <v>59</v>
      </c>
      <c r="H12" s="276">
        <v>0.5</v>
      </c>
      <c r="I12" s="281">
        <f>F12*H12</f>
        <v>5</v>
      </c>
      <c r="J12" s="282" t="s">
        <v>399</v>
      </c>
      <c r="K12" s="280" t="s">
        <v>400</v>
      </c>
      <c r="L12" s="287" t="s">
        <v>401</v>
      </c>
      <c r="M12" s="282" t="s">
        <v>402</v>
      </c>
    </row>
    <row r="13" spans="1:13" s="10" customFormat="1" ht="148.5">
      <c r="A13" s="294" t="s">
        <v>9</v>
      </c>
      <c r="B13" s="434" t="str">
        <f>A48</f>
        <v>안전사고 제로(ZERO)</v>
      </c>
      <c r="C13" s="434" t="str">
        <f>C50</f>
        <v xml:space="preserve"> 「생활쓰레기 일일수거」</v>
      </c>
      <c r="D13" s="164" t="s">
        <v>39</v>
      </c>
      <c r="E13" s="295" t="s">
        <v>111</v>
      </c>
      <c r="F13" s="283">
        <v>10</v>
      </c>
      <c r="G13" s="277" t="s">
        <v>60</v>
      </c>
      <c r="H13" s="278">
        <v>1</v>
      </c>
      <c r="I13" s="281">
        <f t="shared" si="0"/>
        <v>10</v>
      </c>
      <c r="J13" s="282" t="s">
        <v>403</v>
      </c>
      <c r="K13" s="280" t="s">
        <v>404</v>
      </c>
      <c r="L13" s="287" t="s">
        <v>405</v>
      </c>
      <c r="M13" s="282" t="s">
        <v>406</v>
      </c>
    </row>
    <row r="14" spans="1:13" s="10" customFormat="1" ht="27">
      <c r="A14" s="294" t="s">
        <v>10</v>
      </c>
      <c r="B14" s="435"/>
      <c r="C14" s="435"/>
      <c r="D14" s="164" t="s">
        <v>38</v>
      </c>
      <c r="E14" s="295" t="s">
        <v>112</v>
      </c>
      <c r="F14" s="284">
        <v>5</v>
      </c>
      <c r="G14" s="277" t="s">
        <v>59</v>
      </c>
      <c r="H14" s="276">
        <v>0.5</v>
      </c>
      <c r="I14" s="281">
        <f t="shared" si="0"/>
        <v>2.5</v>
      </c>
      <c r="J14" s="282" t="s">
        <v>407</v>
      </c>
      <c r="K14" s="280" t="s">
        <v>408</v>
      </c>
      <c r="L14" s="287" t="s">
        <v>409</v>
      </c>
      <c r="M14" s="282" t="s">
        <v>410</v>
      </c>
    </row>
    <row r="15" spans="1:13" ht="17.25" customHeight="1">
      <c r="A15" s="294" t="s">
        <v>25</v>
      </c>
      <c r="B15" s="435"/>
      <c r="C15" s="435"/>
      <c r="D15" s="164" t="s">
        <v>38</v>
      </c>
      <c r="E15" s="295" t="s">
        <v>57</v>
      </c>
      <c r="F15" s="284">
        <v>10</v>
      </c>
      <c r="G15" s="277" t="s">
        <v>59</v>
      </c>
      <c r="H15" s="276">
        <v>0</v>
      </c>
      <c r="I15" s="281">
        <f t="shared" si="0"/>
        <v>0</v>
      </c>
      <c r="J15" s="282"/>
      <c r="K15" s="280"/>
      <c r="L15" s="287"/>
      <c r="M15" s="282"/>
    </row>
    <row r="16" spans="1:13" ht="27.75" thickBot="1">
      <c r="A16" s="294" t="s">
        <v>24</v>
      </c>
      <c r="B16" s="164" t="str">
        <f>A53</f>
        <v>고객만족도 90% 이상</v>
      </c>
      <c r="C16" s="164" t="str">
        <f>C56</f>
        <v xml:space="preserve"> 다양한 시민참여 프로그램 운영</v>
      </c>
      <c r="D16" s="164" t="s">
        <v>38</v>
      </c>
      <c r="E16" s="295" t="s">
        <v>58</v>
      </c>
      <c r="F16" s="289">
        <v>10</v>
      </c>
      <c r="G16" s="277" t="s">
        <v>59</v>
      </c>
      <c r="H16" s="278">
        <v>0.5</v>
      </c>
      <c r="I16" s="286">
        <f t="shared" si="0"/>
        <v>5</v>
      </c>
      <c r="J16" s="290" t="s">
        <v>411</v>
      </c>
      <c r="K16" s="288" t="s">
        <v>412</v>
      </c>
      <c r="L16" s="291" t="s">
        <v>413</v>
      </c>
      <c r="M16" s="282" t="s">
        <v>414</v>
      </c>
    </row>
    <row r="17" spans="3:13">
      <c r="C17" s="238"/>
      <c r="D17" s="238"/>
      <c r="E17" s="239"/>
      <c r="J17" s="239"/>
      <c r="K17" s="238"/>
      <c r="L17" s="238"/>
      <c r="M17" s="19"/>
    </row>
    <row r="18" spans="3:13">
      <c r="C18" s="238"/>
      <c r="D18" s="238"/>
      <c r="E18" s="239"/>
      <c r="F18" s="236" t="s">
        <v>46</v>
      </c>
      <c r="G18" s="236" t="s">
        <v>47</v>
      </c>
      <c r="H18" s="413" t="s">
        <v>48</v>
      </c>
      <c r="I18" s="414"/>
      <c r="J18" s="239"/>
      <c r="K18" s="238"/>
      <c r="L18" s="238"/>
      <c r="M18" s="237"/>
    </row>
    <row r="19" spans="3:13">
      <c r="C19" s="238"/>
      <c r="D19" s="238"/>
      <c r="E19" s="239"/>
      <c r="F19" s="236">
        <f>SUM(F3:F16)</f>
        <v>120</v>
      </c>
      <c r="G19" s="240">
        <f>SUM(I3:I16)</f>
        <v>47.5</v>
      </c>
      <c r="H19" s="415">
        <f>G19/F19*100</f>
        <v>39.583333333333329</v>
      </c>
      <c r="I19" s="416"/>
      <c r="J19" s="239"/>
      <c r="K19" s="238"/>
      <c r="L19" s="238"/>
      <c r="M19" s="237"/>
    </row>
    <row r="20" spans="3:13">
      <c r="C20" s="238"/>
      <c r="D20" s="238"/>
      <c r="E20" s="239"/>
      <c r="H20" s="297">
        <f>AVERAGE($H$3:H16)</f>
        <v>0.4642857142857143</v>
      </c>
      <c r="J20" s="239"/>
      <c r="K20" s="238"/>
      <c r="L20" s="238"/>
      <c r="M20" s="237"/>
    </row>
    <row r="21" spans="3:13">
      <c r="C21" s="238"/>
      <c r="D21" s="238"/>
      <c r="E21" s="239"/>
      <c r="J21" s="239"/>
      <c r="K21" s="238"/>
      <c r="L21" s="238"/>
      <c r="M21" s="237"/>
    </row>
    <row r="22" spans="3:13">
      <c r="C22" s="238"/>
      <c r="D22" s="238"/>
      <c r="E22" s="239"/>
      <c r="J22" s="239"/>
      <c r="K22" s="238"/>
      <c r="L22" s="238"/>
      <c r="M22" s="237"/>
    </row>
    <row r="23" spans="3:13">
      <c r="C23" s="238"/>
      <c r="D23" s="238"/>
      <c r="E23" s="239"/>
      <c r="J23" s="239"/>
      <c r="K23" s="238"/>
      <c r="L23" s="238"/>
      <c r="M23" s="237"/>
    </row>
    <row r="24" spans="3:13">
      <c r="C24" s="238"/>
      <c r="D24" s="238"/>
      <c r="E24" s="239"/>
      <c r="J24" s="239"/>
      <c r="K24" s="238"/>
      <c r="L24" s="238"/>
      <c r="M24" s="237"/>
    </row>
    <row r="25" spans="3:13">
      <c r="C25" s="238"/>
      <c r="D25" s="238"/>
      <c r="E25" s="239"/>
      <c r="J25" s="239"/>
      <c r="K25" s="238"/>
      <c r="L25" s="238"/>
      <c r="M25" s="237"/>
    </row>
    <row r="26" spans="3:13">
      <c r="C26" s="238"/>
      <c r="D26" s="238"/>
      <c r="E26" s="239"/>
      <c r="J26" s="239"/>
      <c r="K26" s="238"/>
      <c r="L26" s="238"/>
      <c r="M26" s="237"/>
    </row>
    <row r="27" spans="3:13">
      <c r="C27" s="238"/>
      <c r="D27" s="238"/>
      <c r="E27" s="239"/>
      <c r="J27" s="239"/>
      <c r="K27" s="238"/>
      <c r="L27" s="238"/>
      <c r="M27" s="237"/>
    </row>
    <row r="28" spans="3:13">
      <c r="C28" s="238"/>
      <c r="D28" s="238"/>
      <c r="E28" s="239"/>
      <c r="J28" s="239"/>
      <c r="K28" s="238"/>
      <c r="L28" s="238"/>
      <c r="M28" s="237"/>
    </row>
    <row r="29" spans="3:13">
      <c r="C29" s="238"/>
      <c r="D29" s="238"/>
      <c r="E29" s="239"/>
      <c r="J29" s="239"/>
      <c r="K29" s="238"/>
      <c r="L29" s="238"/>
      <c r="M29" s="237"/>
    </row>
    <row r="30" spans="3:13">
      <c r="C30" s="238"/>
      <c r="D30" s="238"/>
      <c r="E30" s="239"/>
      <c r="J30" s="239"/>
      <c r="K30" s="238"/>
      <c r="L30" s="238"/>
      <c r="M30" s="237"/>
    </row>
    <row r="31" spans="3:13">
      <c r="C31" s="92"/>
      <c r="E31" s="239"/>
      <c r="J31" s="239"/>
      <c r="K31" s="238"/>
      <c r="L31" s="238"/>
      <c r="M31" s="237"/>
    </row>
    <row r="32" spans="3:13">
      <c r="C32" s="410" t="s">
        <v>188</v>
      </c>
      <c r="D32" s="164" t="s">
        <v>38</v>
      </c>
      <c r="E32" s="239"/>
      <c r="J32" s="239"/>
      <c r="K32" s="238"/>
      <c r="L32" s="238"/>
      <c r="M32" s="237"/>
    </row>
    <row r="33" spans="1:13">
      <c r="C33" s="410"/>
      <c r="D33" s="164">
        <f>COUNTIF(D3:D31,$D$32)</f>
        <v>8</v>
      </c>
      <c r="E33" s="239"/>
      <c r="J33" s="239"/>
      <c r="K33" s="238"/>
      <c r="L33" s="238"/>
      <c r="M33" s="237"/>
    </row>
    <row r="34" spans="1:13">
      <c r="C34" s="410"/>
      <c r="D34" s="164" t="s">
        <v>187</v>
      </c>
      <c r="E34" s="239"/>
      <c r="J34" s="239"/>
      <c r="K34" s="238"/>
      <c r="L34" s="238"/>
      <c r="M34" s="237"/>
    </row>
    <row r="35" spans="1:13">
      <c r="C35" s="411"/>
      <c r="D35" s="164">
        <f>COUNTIF(D3:D33,$D$34)</f>
        <v>6</v>
      </c>
      <c r="E35" s="239"/>
      <c r="J35" s="239"/>
      <c r="K35" s="238"/>
      <c r="L35" s="238"/>
      <c r="M35" s="237"/>
    </row>
    <row r="36" spans="1:13">
      <c r="A36" s="437" t="s">
        <v>63</v>
      </c>
      <c r="B36" s="438"/>
      <c r="C36" s="437" t="s">
        <v>186</v>
      </c>
      <c r="D36" s="438"/>
      <c r="E36" s="239"/>
      <c r="J36" s="239"/>
      <c r="K36" s="238"/>
      <c r="L36" s="238"/>
      <c r="M36" s="237"/>
    </row>
    <row r="37" spans="1:13">
      <c r="A37" s="439" t="s">
        <v>153</v>
      </c>
      <c r="B37" s="439">
        <f>SUMPRODUCT(--(LOOKUP(ROW($B$2:$B$16),ROW($B$2:$B$16)/($B$2:$B$16&lt;&gt;""),$B$2:$B$16)=A37))</f>
        <v>3</v>
      </c>
      <c r="C37" s="85" t="s">
        <v>157</v>
      </c>
      <c r="D37" s="86">
        <f t="shared" ref="D37:D58" si="1">SUMPRODUCT(--(LOOKUP(ROW($C$2:$C$16),ROW($C$2:$C$16)/($C$2:$C$16&lt;&gt;""),$C$2:$C$16)=C37))</f>
        <v>1</v>
      </c>
      <c r="E37" s="239">
        <f>SUM(D37:D42)-B37</f>
        <v>0</v>
      </c>
      <c r="J37" s="239"/>
      <c r="K37" s="238"/>
      <c r="L37" s="238"/>
      <c r="M37" s="237"/>
    </row>
    <row r="38" spans="1:13">
      <c r="A38" s="440"/>
      <c r="B38" s="440"/>
      <c r="C38" s="85" t="s">
        <v>158</v>
      </c>
      <c r="D38" s="86">
        <f t="shared" si="1"/>
        <v>1</v>
      </c>
      <c r="E38" s="239"/>
    </row>
    <row r="39" spans="1:13">
      <c r="A39" s="440"/>
      <c r="B39" s="440"/>
      <c r="C39" s="85" t="s">
        <v>159</v>
      </c>
      <c r="D39" s="86">
        <f t="shared" si="1"/>
        <v>0</v>
      </c>
      <c r="E39" s="239"/>
    </row>
    <row r="40" spans="1:13">
      <c r="A40" s="440"/>
      <c r="B40" s="440"/>
      <c r="C40" s="85" t="s">
        <v>160</v>
      </c>
      <c r="D40" s="86">
        <f t="shared" si="1"/>
        <v>0</v>
      </c>
      <c r="E40" s="239"/>
    </row>
    <row r="41" spans="1:13">
      <c r="A41" s="440"/>
      <c r="B41" s="440"/>
      <c r="C41" s="85" t="s">
        <v>161</v>
      </c>
      <c r="D41" s="86">
        <f t="shared" si="1"/>
        <v>0</v>
      </c>
      <c r="E41" s="239"/>
    </row>
    <row r="42" spans="1:13">
      <c r="A42" s="441"/>
      <c r="B42" s="441"/>
      <c r="C42" s="85" t="s">
        <v>162</v>
      </c>
      <c r="D42" s="86">
        <f t="shared" si="1"/>
        <v>1</v>
      </c>
      <c r="E42" s="239"/>
    </row>
    <row r="43" spans="1:13">
      <c r="A43" s="439" t="s">
        <v>154</v>
      </c>
      <c r="B43" s="439">
        <f>SUMPRODUCT(--(LOOKUP(ROW($B$2:$B$16),ROW($B$2:$B$16)/($B$2:$B$16&lt;&gt;""),$B$2:$B$16)=A43))</f>
        <v>7</v>
      </c>
      <c r="C43" s="85" t="s">
        <v>163</v>
      </c>
      <c r="D43" s="86">
        <f t="shared" si="1"/>
        <v>1</v>
      </c>
      <c r="E43" s="239">
        <f>SUM(D43:D47)-B43</f>
        <v>0</v>
      </c>
    </row>
    <row r="44" spans="1:13">
      <c r="A44" s="440"/>
      <c r="B44" s="440"/>
      <c r="C44" s="85" t="s">
        <v>164</v>
      </c>
      <c r="D44" s="86">
        <f t="shared" si="1"/>
        <v>0</v>
      </c>
      <c r="E44" s="239"/>
    </row>
    <row r="45" spans="1:13">
      <c r="A45" s="440"/>
      <c r="B45" s="440"/>
      <c r="C45" s="85" t="s">
        <v>165</v>
      </c>
      <c r="D45" s="86">
        <f t="shared" si="1"/>
        <v>4</v>
      </c>
      <c r="E45" s="239"/>
    </row>
    <row r="46" spans="1:13">
      <c r="A46" s="440"/>
      <c r="B46" s="440"/>
      <c r="C46" s="85" t="s">
        <v>166</v>
      </c>
      <c r="D46" s="86">
        <f t="shared" si="1"/>
        <v>2</v>
      </c>
      <c r="E46" s="239"/>
    </row>
    <row r="47" spans="1:13">
      <c r="A47" s="441"/>
      <c r="B47" s="441"/>
      <c r="C47" s="85" t="s">
        <v>167</v>
      </c>
      <c r="D47" s="86">
        <f t="shared" si="1"/>
        <v>0</v>
      </c>
      <c r="E47" s="239"/>
    </row>
    <row r="48" spans="1:13">
      <c r="A48" s="439" t="s">
        <v>156</v>
      </c>
      <c r="B48" s="439">
        <f>SUMPRODUCT(--(LOOKUP(ROW($B$2:$B$16),ROW($B$2:$B$16)/($B$2:$B$16&lt;&gt;""),$B$2:$B$16)=A48))</f>
        <v>3</v>
      </c>
      <c r="C48" s="85" t="s">
        <v>168</v>
      </c>
      <c r="D48" s="86">
        <f t="shared" si="1"/>
        <v>0</v>
      </c>
      <c r="E48" s="3">
        <f>SUM(D48:D52)-B48</f>
        <v>0</v>
      </c>
    </row>
    <row r="49" spans="1:5">
      <c r="A49" s="440"/>
      <c r="B49" s="440"/>
      <c r="C49" s="85" t="s">
        <v>169</v>
      </c>
      <c r="D49" s="86">
        <f t="shared" si="1"/>
        <v>0</v>
      </c>
    </row>
    <row r="50" spans="1:5">
      <c r="A50" s="440"/>
      <c r="B50" s="440"/>
      <c r="C50" s="85" t="s">
        <v>170</v>
      </c>
      <c r="D50" s="86">
        <f t="shared" si="1"/>
        <v>3</v>
      </c>
    </row>
    <row r="51" spans="1:5">
      <c r="A51" s="440"/>
      <c r="B51" s="440"/>
      <c r="C51" s="85" t="s">
        <v>178</v>
      </c>
      <c r="D51" s="86">
        <f t="shared" si="1"/>
        <v>0</v>
      </c>
    </row>
    <row r="52" spans="1:5">
      <c r="A52" s="441"/>
      <c r="B52" s="441"/>
      <c r="C52" s="85" t="s">
        <v>171</v>
      </c>
      <c r="D52" s="86">
        <f t="shared" si="1"/>
        <v>0</v>
      </c>
    </row>
    <row r="53" spans="1:5">
      <c r="A53" s="439" t="s">
        <v>155</v>
      </c>
      <c r="B53" s="439">
        <f>SUMPRODUCT(--(LOOKUP(ROW($B$2:$B$16),ROW($B$2:$B$16)/($B$2:$B$16&lt;&gt;""),$B$2:$B$16)=A53))</f>
        <v>1</v>
      </c>
      <c r="C53" s="85" t="s">
        <v>172</v>
      </c>
      <c r="D53" s="86">
        <f t="shared" si="1"/>
        <v>0</v>
      </c>
      <c r="E53" s="3">
        <f>SUM(D53:D58)-B53</f>
        <v>0</v>
      </c>
    </row>
    <row r="54" spans="1:5">
      <c r="A54" s="440"/>
      <c r="B54" s="440"/>
      <c r="C54" s="85" t="s">
        <v>173</v>
      </c>
      <c r="D54" s="86">
        <f t="shared" si="1"/>
        <v>0</v>
      </c>
    </row>
    <row r="55" spans="1:5">
      <c r="A55" s="440"/>
      <c r="B55" s="440"/>
      <c r="C55" s="85" t="s">
        <v>174</v>
      </c>
      <c r="D55" s="86">
        <f t="shared" si="1"/>
        <v>0</v>
      </c>
    </row>
    <row r="56" spans="1:5">
      <c r="A56" s="440"/>
      <c r="B56" s="440"/>
      <c r="C56" s="85" t="s">
        <v>175</v>
      </c>
      <c r="D56" s="86">
        <f t="shared" si="1"/>
        <v>1</v>
      </c>
    </row>
    <row r="57" spans="1:5">
      <c r="A57" s="440"/>
      <c r="B57" s="440"/>
      <c r="C57" s="85" t="s">
        <v>176</v>
      </c>
      <c r="D57" s="86">
        <f t="shared" si="1"/>
        <v>0</v>
      </c>
    </row>
    <row r="58" spans="1:5">
      <c r="A58" s="441"/>
      <c r="B58" s="441"/>
      <c r="C58" s="85" t="s">
        <v>177</v>
      </c>
      <c r="D58" s="86">
        <f t="shared" si="1"/>
        <v>0</v>
      </c>
    </row>
    <row r="59" spans="1:5">
      <c r="B59" s="275">
        <f>SUM(B37:B58)</f>
        <v>14</v>
      </c>
      <c r="D59" s="275">
        <f>SUM(D37:D58)</f>
        <v>14</v>
      </c>
    </row>
  </sheetData>
  <mergeCells count="21">
    <mergeCell ref="A43:A47"/>
    <mergeCell ref="B43:B47"/>
    <mergeCell ref="A48:A52"/>
    <mergeCell ref="B48:B52"/>
    <mergeCell ref="A53:A58"/>
    <mergeCell ref="B53:B58"/>
    <mergeCell ref="A36:B36"/>
    <mergeCell ref="C36:D36"/>
    <mergeCell ref="A37:A42"/>
    <mergeCell ref="B37:B42"/>
    <mergeCell ref="C32:C35"/>
    <mergeCell ref="H19:I19"/>
    <mergeCell ref="A1:M1"/>
    <mergeCell ref="H18:I18"/>
    <mergeCell ref="G2:H2"/>
    <mergeCell ref="C7:C10"/>
    <mergeCell ref="C11:C12"/>
    <mergeCell ref="B13:B15"/>
    <mergeCell ref="C13:C15"/>
    <mergeCell ref="B3:B5"/>
    <mergeCell ref="B6:B12"/>
  </mergeCells>
  <phoneticPr fontId="1" type="noConversion"/>
  <pageMargins left="0.19685039370078741" right="0.19685039370078741" top="0.39370078740157483" bottom="0.39370078740157483" header="0" footer="0"/>
  <pageSetup paperSize="9" scale="37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7C7E-8E7B-4B10-9099-1862DC71DEF3}">
  <sheetPr>
    <pageSetUpPr fitToPage="1"/>
  </sheetPr>
  <dimension ref="A1:M57"/>
  <sheetViews>
    <sheetView view="pageBreakPreview" topLeftCell="A16" zoomScale="85" zoomScaleNormal="70" zoomScaleSheetLayoutView="85" workbookViewId="0">
      <selection activeCell="J39" sqref="J39"/>
    </sheetView>
  </sheetViews>
  <sheetFormatPr defaultColWidth="8.875" defaultRowHeight="16.5"/>
  <cols>
    <col min="1" max="1" width="8" style="1" customWidth="1"/>
    <col min="2" max="2" width="27.25" style="2" customWidth="1"/>
    <col min="3" max="3" width="41.5" style="2" customWidth="1"/>
    <col min="4" max="4" width="11.75" style="2" customWidth="1"/>
    <col min="5" max="5" width="58.625" style="3" customWidth="1"/>
    <col min="6" max="9" width="10.625" style="2" customWidth="1"/>
    <col min="10" max="10" width="66.5" style="3" customWidth="1"/>
    <col min="11" max="11" width="19.125" style="2" customWidth="1"/>
    <col min="12" max="12" width="21" style="2" customWidth="1"/>
    <col min="13" max="13" width="34.75" style="1" customWidth="1"/>
    <col min="14" max="16384" width="8.875" style="1"/>
  </cols>
  <sheetData>
    <row r="1" spans="1:13" ht="69.75" customHeight="1" thickBot="1">
      <c r="A1" s="406" t="s">
        <v>210</v>
      </c>
      <c r="B1" s="407"/>
      <c r="C1" s="407"/>
      <c r="D1" s="407"/>
      <c r="E1" s="407"/>
      <c r="F1" s="408"/>
      <c r="G1" s="408"/>
      <c r="H1" s="408"/>
      <c r="I1" s="408"/>
      <c r="J1" s="408"/>
      <c r="K1" s="408"/>
      <c r="L1" s="408"/>
      <c r="M1" s="407"/>
    </row>
    <row r="2" spans="1:13" ht="42.75" customHeight="1">
      <c r="A2" s="32" t="s">
        <v>15</v>
      </c>
      <c r="B2" s="32" t="s">
        <v>0</v>
      </c>
      <c r="C2" s="33" t="s">
        <v>13</v>
      </c>
      <c r="D2" s="33" t="s">
        <v>11</v>
      </c>
      <c r="E2" s="72" t="s">
        <v>1</v>
      </c>
      <c r="F2" s="73" t="s">
        <v>16</v>
      </c>
      <c r="G2" s="428" t="s">
        <v>12</v>
      </c>
      <c r="H2" s="428"/>
      <c r="I2" s="75" t="s">
        <v>47</v>
      </c>
      <c r="J2" s="75" t="s">
        <v>18</v>
      </c>
      <c r="K2" s="75" t="s">
        <v>17</v>
      </c>
      <c r="L2" s="76" t="s">
        <v>21</v>
      </c>
      <c r="M2" s="74" t="s">
        <v>19</v>
      </c>
    </row>
    <row r="3" spans="1:13" s="10" customFormat="1" ht="27">
      <c r="A3" s="24" t="s">
        <v>379</v>
      </c>
      <c r="B3" s="442" t="str">
        <f>A35</f>
        <v>경영평가 "나"등급 이상</v>
      </c>
      <c r="C3" s="442" t="str">
        <f>C40</f>
        <v xml:space="preserve"> 지역사회공헌 확대</v>
      </c>
      <c r="D3" s="256" t="s">
        <v>38</v>
      </c>
      <c r="E3" s="253" t="s">
        <v>127</v>
      </c>
      <c r="F3" s="257">
        <v>6</v>
      </c>
      <c r="G3" s="254" t="s">
        <v>224</v>
      </c>
      <c r="H3" s="258">
        <v>0.25</v>
      </c>
      <c r="I3" s="259">
        <v>1.5</v>
      </c>
      <c r="J3" s="245" t="s">
        <v>323</v>
      </c>
      <c r="K3" s="245" t="s">
        <v>324</v>
      </c>
      <c r="L3" s="248" t="s">
        <v>325</v>
      </c>
      <c r="M3" s="206"/>
    </row>
    <row r="4" spans="1:13" s="10" customFormat="1">
      <c r="A4" s="246" t="s">
        <v>20</v>
      </c>
      <c r="B4" s="443"/>
      <c r="C4" s="443"/>
      <c r="D4" s="256" t="s">
        <v>39</v>
      </c>
      <c r="E4" s="260" t="s">
        <v>128</v>
      </c>
      <c r="F4" s="261">
        <v>5</v>
      </c>
      <c r="G4" s="243" t="s">
        <v>224</v>
      </c>
      <c r="H4" s="262">
        <v>0</v>
      </c>
      <c r="I4" s="259">
        <v>0</v>
      </c>
      <c r="J4" s="244" t="s">
        <v>326</v>
      </c>
      <c r="K4" s="244"/>
      <c r="L4" s="249" t="s">
        <v>327</v>
      </c>
      <c r="M4" s="206"/>
    </row>
    <row r="5" spans="1:13" s="10" customFormat="1" ht="40.5">
      <c r="A5" s="246" t="s">
        <v>2</v>
      </c>
      <c r="B5" s="443"/>
      <c r="C5" s="443"/>
      <c r="D5" s="256" t="s">
        <v>39</v>
      </c>
      <c r="E5" s="260" t="s">
        <v>129</v>
      </c>
      <c r="F5" s="263">
        <v>10</v>
      </c>
      <c r="G5" s="243" t="s">
        <v>224</v>
      </c>
      <c r="H5" s="264">
        <v>1</v>
      </c>
      <c r="I5" s="259">
        <v>10</v>
      </c>
      <c r="J5" s="244" t="s">
        <v>328</v>
      </c>
      <c r="K5" s="244" t="s">
        <v>329</v>
      </c>
      <c r="L5" s="249" t="s">
        <v>330</v>
      </c>
      <c r="M5" s="206"/>
    </row>
    <row r="6" spans="1:13" s="10" customFormat="1" ht="27">
      <c r="A6" s="246" t="s">
        <v>3</v>
      </c>
      <c r="B6" s="444"/>
      <c r="C6" s="444"/>
      <c r="D6" s="256" t="s">
        <v>38</v>
      </c>
      <c r="E6" s="260" t="s">
        <v>130</v>
      </c>
      <c r="F6" s="266">
        <v>10</v>
      </c>
      <c r="G6" s="267" t="s">
        <v>224</v>
      </c>
      <c r="H6" s="268">
        <v>0.24</v>
      </c>
      <c r="I6" s="259">
        <v>2.4</v>
      </c>
      <c r="J6" s="244" t="s">
        <v>331</v>
      </c>
      <c r="K6" s="244" t="s">
        <v>332</v>
      </c>
      <c r="L6" s="249" t="s">
        <v>333</v>
      </c>
      <c r="M6" s="206"/>
    </row>
    <row r="7" spans="1:13" s="10" customFormat="1" ht="27">
      <c r="A7" s="246" t="s">
        <v>4</v>
      </c>
      <c r="B7" s="442" t="s">
        <v>265</v>
      </c>
      <c r="C7" s="442" t="s">
        <v>163</v>
      </c>
      <c r="D7" s="269" t="s">
        <v>39</v>
      </c>
      <c r="E7" s="253" t="s">
        <v>115</v>
      </c>
      <c r="F7" s="247">
        <v>6</v>
      </c>
      <c r="G7" s="242" t="s">
        <v>224</v>
      </c>
      <c r="H7" s="262">
        <v>0.5</v>
      </c>
      <c r="I7" s="259">
        <v>3</v>
      </c>
      <c r="J7" s="245" t="s">
        <v>334</v>
      </c>
      <c r="K7" s="245" t="s">
        <v>335</v>
      </c>
      <c r="L7" s="248" t="s">
        <v>336</v>
      </c>
      <c r="M7" s="206"/>
    </row>
    <row r="8" spans="1:13" s="10" customFormat="1">
      <c r="A8" s="246" t="s">
        <v>5</v>
      </c>
      <c r="B8" s="443"/>
      <c r="C8" s="443"/>
      <c r="D8" s="269" t="s">
        <v>38</v>
      </c>
      <c r="E8" s="253" t="s">
        <v>116</v>
      </c>
      <c r="F8" s="247">
        <v>6</v>
      </c>
      <c r="G8" s="242" t="s">
        <v>224</v>
      </c>
      <c r="H8" s="262">
        <v>0.35</v>
      </c>
      <c r="I8" s="259">
        <v>3</v>
      </c>
      <c r="J8" s="245" t="s">
        <v>337</v>
      </c>
      <c r="K8" s="245" t="s">
        <v>338</v>
      </c>
      <c r="L8" s="248" t="s">
        <v>339</v>
      </c>
      <c r="M8" s="206"/>
    </row>
    <row r="9" spans="1:13" s="10" customFormat="1" ht="27">
      <c r="A9" s="246" t="s">
        <v>6</v>
      </c>
      <c r="B9" s="444"/>
      <c r="C9" s="444"/>
      <c r="D9" s="269" t="s">
        <v>39</v>
      </c>
      <c r="E9" s="253" t="s">
        <v>147</v>
      </c>
      <c r="F9" s="247">
        <v>6</v>
      </c>
      <c r="G9" s="243" t="s">
        <v>256</v>
      </c>
      <c r="H9" s="262">
        <v>1</v>
      </c>
      <c r="I9" s="259">
        <v>6</v>
      </c>
      <c r="J9" s="245" t="s">
        <v>340</v>
      </c>
      <c r="K9" s="245" t="s">
        <v>341</v>
      </c>
      <c r="L9" s="248" t="s">
        <v>342</v>
      </c>
      <c r="M9" s="206"/>
    </row>
    <row r="10" spans="1:13" s="10" customFormat="1">
      <c r="A10" s="246" t="s">
        <v>7</v>
      </c>
      <c r="B10" s="270" t="s">
        <v>268</v>
      </c>
      <c r="C10" s="270" t="s">
        <v>168</v>
      </c>
      <c r="D10" s="269" t="s">
        <v>38</v>
      </c>
      <c r="E10" s="260" t="s">
        <v>117</v>
      </c>
      <c r="F10" s="250">
        <v>6</v>
      </c>
      <c r="G10" s="243" t="s">
        <v>224</v>
      </c>
      <c r="H10" s="262">
        <v>1</v>
      </c>
      <c r="I10" s="259">
        <v>6</v>
      </c>
      <c r="J10" s="244" t="s">
        <v>343</v>
      </c>
      <c r="K10" s="244" t="s">
        <v>344</v>
      </c>
      <c r="L10" s="249" t="s">
        <v>344</v>
      </c>
      <c r="M10" s="206"/>
    </row>
    <row r="11" spans="1:13" s="10" customFormat="1" ht="27">
      <c r="A11" s="246" t="s">
        <v>8</v>
      </c>
      <c r="B11" s="442" t="s">
        <v>269</v>
      </c>
      <c r="C11" s="442" t="s">
        <v>173</v>
      </c>
      <c r="D11" s="256" t="s">
        <v>39</v>
      </c>
      <c r="E11" s="260" t="s">
        <v>118</v>
      </c>
      <c r="F11" s="250">
        <v>8</v>
      </c>
      <c r="G11" s="243" t="s">
        <v>224</v>
      </c>
      <c r="H11" s="262">
        <v>0.75</v>
      </c>
      <c r="I11" s="259">
        <v>6</v>
      </c>
      <c r="J11" s="244" t="s">
        <v>345</v>
      </c>
      <c r="K11" s="244" t="s">
        <v>346</v>
      </c>
      <c r="L11" s="249" t="s">
        <v>347</v>
      </c>
      <c r="M11" s="206"/>
    </row>
    <row r="12" spans="1:13" s="10" customFormat="1" ht="16.5" customHeight="1">
      <c r="A12" s="246" t="s">
        <v>22</v>
      </c>
      <c r="B12" s="443"/>
      <c r="C12" s="443"/>
      <c r="D12" s="256" t="s">
        <v>38</v>
      </c>
      <c r="E12" s="260" t="s">
        <v>119</v>
      </c>
      <c r="F12" s="261">
        <v>8</v>
      </c>
      <c r="G12" s="243" t="s">
        <v>348</v>
      </c>
      <c r="H12" s="262">
        <v>0.37</v>
      </c>
      <c r="I12" s="259">
        <v>2.96</v>
      </c>
      <c r="J12" s="244" t="s">
        <v>349</v>
      </c>
      <c r="K12" s="244"/>
      <c r="L12" s="249"/>
      <c r="M12" s="206"/>
    </row>
    <row r="13" spans="1:13" s="10" customFormat="1" ht="40.5">
      <c r="A13" s="246" t="s">
        <v>9</v>
      </c>
      <c r="B13" s="443"/>
      <c r="C13" s="443"/>
      <c r="D13" s="256" t="s">
        <v>39</v>
      </c>
      <c r="E13" s="260" t="s">
        <v>120</v>
      </c>
      <c r="F13" s="261">
        <v>6</v>
      </c>
      <c r="G13" s="243" t="s">
        <v>224</v>
      </c>
      <c r="H13" s="264">
        <v>0.5</v>
      </c>
      <c r="I13" s="259">
        <v>3</v>
      </c>
      <c r="J13" s="244" t="s">
        <v>350</v>
      </c>
      <c r="K13" s="244" t="s">
        <v>351</v>
      </c>
      <c r="L13" s="249" t="s">
        <v>352</v>
      </c>
      <c r="M13" s="206"/>
    </row>
    <row r="14" spans="1:13" s="10" customFormat="1">
      <c r="A14" s="246" t="s">
        <v>10</v>
      </c>
      <c r="B14" s="443"/>
      <c r="C14" s="443"/>
      <c r="D14" s="256" t="s">
        <v>38</v>
      </c>
      <c r="E14" s="260" t="s">
        <v>52</v>
      </c>
      <c r="F14" s="261">
        <v>8</v>
      </c>
      <c r="G14" s="243" t="s">
        <v>224</v>
      </c>
      <c r="H14" s="262">
        <v>1</v>
      </c>
      <c r="I14" s="259">
        <v>8</v>
      </c>
      <c r="J14" s="244" t="s">
        <v>353</v>
      </c>
      <c r="K14" s="244" t="s">
        <v>354</v>
      </c>
      <c r="L14" s="249" t="s">
        <v>355</v>
      </c>
      <c r="M14" s="206"/>
    </row>
    <row r="15" spans="1:13" s="10" customFormat="1">
      <c r="A15" s="246" t="s">
        <v>25</v>
      </c>
      <c r="B15" s="443"/>
      <c r="C15" s="443"/>
      <c r="D15" s="256" t="s">
        <v>38</v>
      </c>
      <c r="E15" s="260" t="s">
        <v>121</v>
      </c>
      <c r="F15" s="263">
        <v>8</v>
      </c>
      <c r="G15" s="243" t="s">
        <v>224</v>
      </c>
      <c r="H15" s="264">
        <v>0.2</v>
      </c>
      <c r="I15" s="259">
        <v>1.6</v>
      </c>
      <c r="J15" s="244" t="s">
        <v>356</v>
      </c>
      <c r="K15" s="244" t="s">
        <v>357</v>
      </c>
      <c r="L15" s="249" t="s">
        <v>358</v>
      </c>
      <c r="M15" s="206"/>
    </row>
    <row r="16" spans="1:13" s="10" customFormat="1">
      <c r="A16" s="246" t="s">
        <v>24</v>
      </c>
      <c r="B16" s="443"/>
      <c r="C16" s="443"/>
      <c r="D16" s="256" t="s">
        <v>38</v>
      </c>
      <c r="E16" s="260" t="s">
        <v>122</v>
      </c>
      <c r="F16" s="261">
        <v>8</v>
      </c>
      <c r="G16" s="243" t="s">
        <v>224</v>
      </c>
      <c r="H16" s="262">
        <v>0.504</v>
      </c>
      <c r="I16" s="259">
        <v>4.032</v>
      </c>
      <c r="J16" s="244" t="s">
        <v>359</v>
      </c>
      <c r="K16" s="244" t="s">
        <v>360</v>
      </c>
      <c r="L16" s="249" t="s">
        <v>361</v>
      </c>
      <c r="M16" s="206"/>
    </row>
    <row r="17" spans="1:13" s="10" customFormat="1" ht="27">
      <c r="A17" s="246" t="s">
        <v>23</v>
      </c>
      <c r="B17" s="443"/>
      <c r="C17" s="443"/>
      <c r="D17" s="256" t="s">
        <v>38</v>
      </c>
      <c r="E17" s="253" t="s">
        <v>53</v>
      </c>
      <c r="F17" s="257">
        <v>6</v>
      </c>
      <c r="G17" s="242" t="s">
        <v>224</v>
      </c>
      <c r="H17" s="264">
        <v>0.5</v>
      </c>
      <c r="I17" s="259">
        <v>3</v>
      </c>
      <c r="J17" s="245" t="s">
        <v>362</v>
      </c>
      <c r="K17" s="245" t="s">
        <v>363</v>
      </c>
      <c r="L17" s="248" t="s">
        <v>364</v>
      </c>
      <c r="M17" s="206"/>
    </row>
    <row r="18" spans="1:13" s="10" customFormat="1" ht="40.5">
      <c r="A18" s="246" t="s">
        <v>32</v>
      </c>
      <c r="B18" s="443"/>
      <c r="C18" s="444"/>
      <c r="D18" s="256" t="s">
        <v>38</v>
      </c>
      <c r="E18" s="265" t="s">
        <v>365</v>
      </c>
      <c r="F18" s="261">
        <v>10</v>
      </c>
      <c r="G18" s="243" t="s">
        <v>224</v>
      </c>
      <c r="H18" s="264">
        <v>0.64</v>
      </c>
      <c r="I18" s="259">
        <v>6.4</v>
      </c>
      <c r="J18" s="244" t="s">
        <v>366</v>
      </c>
      <c r="K18" s="244" t="s">
        <v>367</v>
      </c>
      <c r="L18" s="248" t="s">
        <v>368</v>
      </c>
      <c r="M18" s="206"/>
    </row>
    <row r="19" spans="1:13" s="10" customFormat="1">
      <c r="A19" s="246" t="s">
        <v>31</v>
      </c>
      <c r="B19" s="443"/>
      <c r="C19" s="443" t="str">
        <f>C54</f>
        <v xml:space="preserve"> 다양한 시민참여 프로그램 운영</v>
      </c>
      <c r="D19" s="256" t="s">
        <v>38</v>
      </c>
      <c r="E19" s="260" t="s">
        <v>123</v>
      </c>
      <c r="F19" s="261">
        <v>8</v>
      </c>
      <c r="G19" s="243" t="s">
        <v>224</v>
      </c>
      <c r="H19" s="262">
        <v>0.875</v>
      </c>
      <c r="I19" s="259">
        <v>7</v>
      </c>
      <c r="J19" s="244" t="s">
        <v>369</v>
      </c>
      <c r="K19" s="244" t="s">
        <v>370</v>
      </c>
      <c r="L19" s="249" t="s">
        <v>371</v>
      </c>
      <c r="M19" s="206"/>
    </row>
    <row r="20" spans="1:13" s="10" customFormat="1" ht="27">
      <c r="A20" s="246" t="s">
        <v>30</v>
      </c>
      <c r="B20" s="443"/>
      <c r="C20" s="443"/>
      <c r="D20" s="256" t="s">
        <v>39</v>
      </c>
      <c r="E20" s="260" t="s">
        <v>124</v>
      </c>
      <c r="F20" s="261">
        <v>10</v>
      </c>
      <c r="G20" s="243" t="s">
        <v>224</v>
      </c>
      <c r="H20" s="268">
        <v>1</v>
      </c>
      <c r="I20" s="259">
        <v>10</v>
      </c>
      <c r="J20" s="244" t="s">
        <v>372</v>
      </c>
      <c r="K20" s="244" t="s">
        <v>373</v>
      </c>
      <c r="L20" s="248" t="s">
        <v>368</v>
      </c>
      <c r="M20" s="241"/>
    </row>
    <row r="21" spans="1:13" s="10" customFormat="1" ht="40.5">
      <c r="A21" s="246" t="s">
        <v>29</v>
      </c>
      <c r="B21" s="443"/>
      <c r="C21" s="443"/>
      <c r="D21" s="256" t="s">
        <v>38</v>
      </c>
      <c r="E21" s="260" t="s">
        <v>125</v>
      </c>
      <c r="F21" s="266">
        <v>5</v>
      </c>
      <c r="G21" s="267" t="s">
        <v>224</v>
      </c>
      <c r="H21" s="268">
        <v>1</v>
      </c>
      <c r="I21" s="259">
        <v>5</v>
      </c>
      <c r="J21" s="244" t="s">
        <v>374</v>
      </c>
      <c r="K21" s="244" t="s">
        <v>375</v>
      </c>
      <c r="L21" s="248" t="s">
        <v>376</v>
      </c>
      <c r="M21" s="241"/>
    </row>
    <row r="22" spans="1:13" s="10" customFormat="1" ht="41.25" thickBot="1">
      <c r="A22" s="246" t="s">
        <v>28</v>
      </c>
      <c r="B22" s="444"/>
      <c r="C22" s="444"/>
      <c r="D22" s="256" t="s">
        <v>38</v>
      </c>
      <c r="E22" s="253" t="s">
        <v>126</v>
      </c>
      <c r="F22" s="271">
        <v>10</v>
      </c>
      <c r="G22" s="252" t="s">
        <v>224</v>
      </c>
      <c r="H22" s="272">
        <v>0.64</v>
      </c>
      <c r="I22" s="273">
        <v>6.4</v>
      </c>
      <c r="J22" s="255" t="s">
        <v>377</v>
      </c>
      <c r="K22" s="255" t="s">
        <v>378</v>
      </c>
      <c r="L22" s="251" t="s">
        <v>368</v>
      </c>
      <c r="M22" s="241"/>
    </row>
    <row r="23" spans="1:13">
      <c r="C23" s="20"/>
      <c r="D23" s="20"/>
      <c r="E23" s="239"/>
      <c r="F23" s="235"/>
      <c r="G23" s="235"/>
      <c r="H23" s="235"/>
      <c r="I23" s="235"/>
      <c r="J23" s="239"/>
      <c r="K23" s="238"/>
      <c r="L23" s="238"/>
      <c r="M23" s="237"/>
    </row>
    <row r="24" spans="1:13">
      <c r="C24" s="20"/>
      <c r="D24" s="20"/>
      <c r="E24" s="239"/>
      <c r="F24" s="235"/>
      <c r="G24" s="235"/>
      <c r="H24" s="235"/>
      <c r="I24" s="235"/>
      <c r="J24" s="239"/>
      <c r="K24" s="238"/>
      <c r="L24" s="238"/>
      <c r="M24" s="237"/>
    </row>
    <row r="25" spans="1:13">
      <c r="C25" s="20"/>
      <c r="D25" s="20"/>
      <c r="E25" s="239"/>
      <c r="F25" s="236" t="s">
        <v>46</v>
      </c>
      <c r="G25" s="236" t="s">
        <v>47</v>
      </c>
      <c r="H25" s="413" t="s">
        <v>48</v>
      </c>
      <c r="I25" s="414"/>
      <c r="J25" s="239"/>
      <c r="K25" s="238"/>
      <c r="L25" s="238"/>
      <c r="M25" s="237"/>
    </row>
    <row r="26" spans="1:13">
      <c r="C26" s="20"/>
      <c r="D26" s="20"/>
      <c r="E26" s="239"/>
      <c r="F26" s="236">
        <f>SUM(F3:F22)</f>
        <v>150</v>
      </c>
      <c r="G26" s="240">
        <f>SUM(I3:I22)</f>
        <v>95.292000000000016</v>
      </c>
      <c r="H26" s="415">
        <f>G26/F26*100</f>
        <v>63.528000000000006</v>
      </c>
      <c r="I26" s="416"/>
      <c r="J26" s="239"/>
      <c r="K26" s="238"/>
      <c r="L26" s="238"/>
      <c r="M26" s="237"/>
    </row>
    <row r="27" spans="1:13">
      <c r="C27" s="20"/>
      <c r="D27" s="20"/>
      <c r="E27" s="239"/>
      <c r="F27" s="445"/>
      <c r="G27" s="445"/>
      <c r="H27" s="297">
        <f>AVERAGE($H$3:H23)</f>
        <v>0.61595</v>
      </c>
      <c r="I27" s="235"/>
      <c r="J27" s="239"/>
      <c r="K27" s="238"/>
      <c r="L27" s="238"/>
      <c r="M27" s="237"/>
    </row>
    <row r="28" spans="1:13">
      <c r="C28" s="20"/>
      <c r="D28" s="20"/>
      <c r="E28" s="239"/>
      <c r="F28" s="235"/>
      <c r="G28" s="235"/>
      <c r="H28" s="235"/>
      <c r="I28" s="235"/>
      <c r="J28" s="239"/>
      <c r="K28" s="238"/>
      <c r="L28" s="238"/>
      <c r="M28" s="237"/>
    </row>
    <row r="29" spans="1:13">
      <c r="C29" s="92"/>
      <c r="E29" s="239"/>
      <c r="F29" s="235"/>
      <c r="G29" s="235"/>
      <c r="H29" s="235"/>
      <c r="I29" s="235"/>
      <c r="J29" s="239"/>
      <c r="K29" s="238"/>
      <c r="L29" s="238"/>
      <c r="M29" s="237"/>
    </row>
    <row r="30" spans="1:13">
      <c r="C30" s="410" t="s">
        <v>188</v>
      </c>
      <c r="D30" s="26" t="s">
        <v>38</v>
      </c>
      <c r="E30" s="239"/>
      <c r="F30" s="235"/>
      <c r="G30" s="235"/>
      <c r="H30" s="235"/>
      <c r="I30" s="235"/>
      <c r="J30" s="239"/>
      <c r="K30" s="238"/>
      <c r="L30" s="238"/>
      <c r="M30" s="237"/>
    </row>
    <row r="31" spans="1:13">
      <c r="C31" s="410"/>
      <c r="D31" s="26">
        <f>COUNTIF(D3:D29,$D$30)</f>
        <v>13</v>
      </c>
      <c r="E31" s="239"/>
      <c r="F31" s="235"/>
      <c r="G31" s="235"/>
      <c r="H31" s="235"/>
      <c r="I31" s="235"/>
      <c r="J31" s="239"/>
      <c r="K31" s="238"/>
      <c r="L31" s="238"/>
      <c r="M31" s="237"/>
    </row>
    <row r="32" spans="1:13">
      <c r="C32" s="410"/>
      <c r="D32" s="26" t="s">
        <v>187</v>
      </c>
      <c r="E32" s="239"/>
      <c r="F32" s="235"/>
      <c r="G32" s="235"/>
      <c r="H32" s="235"/>
      <c r="I32" s="235"/>
      <c r="J32" s="239"/>
      <c r="K32" s="238"/>
      <c r="L32" s="238"/>
      <c r="M32" s="237"/>
    </row>
    <row r="33" spans="1:13">
      <c r="C33" s="411"/>
      <c r="D33" s="26">
        <f>COUNTIF(D3:D31,$D$32)</f>
        <v>7</v>
      </c>
      <c r="E33" s="239"/>
      <c r="F33" s="235"/>
      <c r="G33" s="235"/>
      <c r="H33" s="235"/>
      <c r="I33" s="235"/>
      <c r="J33" s="239"/>
      <c r="K33" s="238"/>
      <c r="L33" s="238"/>
      <c r="M33" s="237"/>
    </row>
    <row r="34" spans="1:13">
      <c r="A34" s="381" t="s">
        <v>63</v>
      </c>
      <c r="B34" s="381"/>
      <c r="C34" s="381" t="s">
        <v>186</v>
      </c>
      <c r="D34" s="381"/>
      <c r="E34" s="239"/>
      <c r="F34" s="235"/>
      <c r="G34" s="235"/>
      <c r="H34" s="235"/>
      <c r="I34" s="235"/>
      <c r="J34" s="239"/>
      <c r="K34" s="238"/>
      <c r="L34" s="238"/>
      <c r="M34" s="237"/>
    </row>
    <row r="35" spans="1:13" ht="16.5" customHeight="1">
      <c r="A35" s="382" t="s">
        <v>153</v>
      </c>
      <c r="B35" s="382">
        <f>SUMPRODUCT(--(LOOKUP(ROW($B$2:$B$22),ROW($B$2:$B$22)/($B$2:$B$22&lt;&gt;""),$B$2:$B$22)=A35))</f>
        <v>4</v>
      </c>
      <c r="C35" s="85" t="s">
        <v>157</v>
      </c>
      <c r="D35" s="86">
        <f t="shared" ref="D35:D56" si="0">SUMPRODUCT(--(LOOKUP(ROW($C$2:$C$22),ROW($C$2:$C$22)/($C$2:$C$22&lt;&gt;""),$C$2:$C$22)=C35))</f>
        <v>0</v>
      </c>
      <c r="E35" s="239">
        <f>SUM(D35:D40)-B35</f>
        <v>0</v>
      </c>
      <c r="F35" s="235"/>
      <c r="G35" s="235"/>
      <c r="H35" s="235"/>
      <c r="I35" s="235"/>
      <c r="J35" s="239"/>
      <c r="K35" s="238"/>
      <c r="L35" s="238"/>
      <c r="M35" s="237"/>
    </row>
    <row r="36" spans="1:13">
      <c r="A36" s="382"/>
      <c r="B36" s="382"/>
      <c r="C36" s="85" t="s">
        <v>158</v>
      </c>
      <c r="D36" s="86">
        <f t="shared" si="0"/>
        <v>0</v>
      </c>
      <c r="E36" s="239"/>
      <c r="F36" s="235"/>
      <c r="G36" s="235"/>
      <c r="H36" s="235"/>
      <c r="I36" s="235"/>
      <c r="J36" s="239"/>
      <c r="K36" s="238"/>
      <c r="L36" s="238"/>
      <c r="M36" s="237"/>
    </row>
    <row r="37" spans="1:13">
      <c r="A37" s="382"/>
      <c r="B37" s="382"/>
      <c r="C37" s="85" t="s">
        <v>159</v>
      </c>
      <c r="D37" s="86">
        <f t="shared" si="0"/>
        <v>0</v>
      </c>
      <c r="E37" s="239"/>
      <c r="F37" s="235"/>
      <c r="G37" s="235"/>
      <c r="H37" s="235"/>
      <c r="I37" s="235"/>
      <c r="J37" s="239"/>
      <c r="K37" s="238"/>
      <c r="L37" s="238"/>
      <c r="M37" s="237"/>
    </row>
    <row r="38" spans="1:13">
      <c r="A38" s="382"/>
      <c r="B38" s="382"/>
      <c r="C38" s="85" t="s">
        <v>160</v>
      </c>
      <c r="D38" s="86">
        <f t="shared" si="0"/>
        <v>0</v>
      </c>
      <c r="E38" s="239"/>
      <c r="J38" s="21"/>
      <c r="K38" s="20"/>
      <c r="L38" s="20"/>
      <c r="M38" s="19"/>
    </row>
    <row r="39" spans="1:13">
      <c r="A39" s="382"/>
      <c r="B39" s="382"/>
      <c r="C39" s="85" t="s">
        <v>161</v>
      </c>
      <c r="D39" s="86">
        <f t="shared" si="0"/>
        <v>0</v>
      </c>
      <c r="E39" s="239"/>
      <c r="J39" s="21"/>
      <c r="K39" s="20"/>
      <c r="L39" s="20"/>
      <c r="M39" s="19"/>
    </row>
    <row r="40" spans="1:13">
      <c r="A40" s="382"/>
      <c r="B40" s="382"/>
      <c r="C40" s="85" t="s">
        <v>162</v>
      </c>
      <c r="D40" s="86">
        <f t="shared" si="0"/>
        <v>4</v>
      </c>
      <c r="E40" s="239"/>
      <c r="J40" s="21"/>
      <c r="K40" s="20"/>
      <c r="L40" s="20"/>
      <c r="M40" s="19"/>
    </row>
    <row r="41" spans="1:13" ht="16.5" customHeight="1">
      <c r="A41" s="382" t="s">
        <v>154</v>
      </c>
      <c r="B41" s="382">
        <f>SUMPRODUCT(--(LOOKUP(ROW($B$2:$B$22),ROW($B$2:$B$22)/($B$2:$B$22&lt;&gt;""),$B$2:$B$22)=A41))</f>
        <v>3</v>
      </c>
      <c r="C41" s="85" t="s">
        <v>163</v>
      </c>
      <c r="D41" s="86">
        <f t="shared" si="0"/>
        <v>3</v>
      </c>
      <c r="E41" s="239">
        <f>SUM(D41:D45)-B41</f>
        <v>0</v>
      </c>
      <c r="J41" s="21"/>
      <c r="K41" s="20"/>
      <c r="L41" s="20"/>
      <c r="M41" s="19"/>
    </row>
    <row r="42" spans="1:13">
      <c r="A42" s="382"/>
      <c r="B42" s="382"/>
      <c r="C42" s="85" t="s">
        <v>164</v>
      </c>
      <c r="D42" s="86">
        <f t="shared" si="0"/>
        <v>0</v>
      </c>
      <c r="E42" s="239"/>
      <c r="J42" s="21"/>
      <c r="K42" s="20"/>
      <c r="L42" s="20"/>
      <c r="M42" s="19"/>
    </row>
    <row r="43" spans="1:13">
      <c r="A43" s="382"/>
      <c r="B43" s="382"/>
      <c r="C43" s="85" t="s">
        <v>165</v>
      </c>
      <c r="D43" s="86">
        <f t="shared" si="0"/>
        <v>0</v>
      </c>
      <c r="E43" s="239"/>
      <c r="J43" s="21"/>
      <c r="K43" s="20"/>
      <c r="L43" s="20"/>
      <c r="M43" s="19"/>
    </row>
    <row r="44" spans="1:13">
      <c r="A44" s="382"/>
      <c r="B44" s="382"/>
      <c r="C44" s="85" t="s">
        <v>166</v>
      </c>
      <c r="D44" s="86">
        <f t="shared" si="0"/>
        <v>0</v>
      </c>
      <c r="E44" s="239"/>
      <c r="J44" s="21"/>
      <c r="K44" s="20"/>
      <c r="L44" s="20"/>
      <c r="M44" s="19"/>
    </row>
    <row r="45" spans="1:13">
      <c r="A45" s="382"/>
      <c r="B45" s="382"/>
      <c r="C45" s="85" t="s">
        <v>167</v>
      </c>
      <c r="D45" s="86">
        <f t="shared" si="0"/>
        <v>0</v>
      </c>
      <c r="E45" s="239"/>
    </row>
    <row r="46" spans="1:13" ht="16.5" customHeight="1">
      <c r="A46" s="382" t="s">
        <v>156</v>
      </c>
      <c r="B46" s="382">
        <f>SUMPRODUCT(--(LOOKUP(ROW($B$2:$B$22),ROW($B$2:$B$22)/($B$2:$B$22&lt;&gt;""),$B$2:$B$22)=A46))</f>
        <v>1</v>
      </c>
      <c r="C46" s="85" t="s">
        <v>168</v>
      </c>
      <c r="D46" s="86">
        <f t="shared" si="0"/>
        <v>1</v>
      </c>
      <c r="E46" s="3">
        <f>SUM(D46:D50)-B46</f>
        <v>0</v>
      </c>
    </row>
    <row r="47" spans="1:13">
      <c r="A47" s="382"/>
      <c r="B47" s="382"/>
      <c r="C47" s="85" t="s">
        <v>169</v>
      </c>
      <c r="D47" s="86">
        <f t="shared" si="0"/>
        <v>0</v>
      </c>
    </row>
    <row r="48" spans="1:13">
      <c r="A48" s="382"/>
      <c r="B48" s="382"/>
      <c r="C48" s="85" t="s">
        <v>170</v>
      </c>
      <c r="D48" s="86">
        <f t="shared" si="0"/>
        <v>0</v>
      </c>
    </row>
    <row r="49" spans="1:5">
      <c r="A49" s="382"/>
      <c r="B49" s="382"/>
      <c r="C49" s="85" t="s">
        <v>178</v>
      </c>
      <c r="D49" s="86">
        <f t="shared" si="0"/>
        <v>0</v>
      </c>
    </row>
    <row r="50" spans="1:5">
      <c r="A50" s="382"/>
      <c r="B50" s="382"/>
      <c r="C50" s="85" t="s">
        <v>171</v>
      </c>
      <c r="D50" s="86">
        <f t="shared" si="0"/>
        <v>0</v>
      </c>
    </row>
    <row r="51" spans="1:5" ht="16.5" customHeight="1">
      <c r="A51" s="382" t="s">
        <v>155</v>
      </c>
      <c r="B51" s="382">
        <f>SUMPRODUCT(--(LOOKUP(ROW($B$2:$B$22),ROW($B$2:$B$22)/($B$2:$B$22&lt;&gt;""),$B$2:$B$22)=A51))</f>
        <v>12</v>
      </c>
      <c r="C51" s="85" t="s">
        <v>172</v>
      </c>
      <c r="D51" s="86">
        <f t="shared" si="0"/>
        <v>0</v>
      </c>
      <c r="E51" s="3">
        <f>SUM(D51:D56)-B51</f>
        <v>0</v>
      </c>
    </row>
    <row r="52" spans="1:5">
      <c r="A52" s="382"/>
      <c r="B52" s="382"/>
      <c r="C52" s="85" t="s">
        <v>173</v>
      </c>
      <c r="D52" s="86">
        <f t="shared" si="0"/>
        <v>8</v>
      </c>
    </row>
    <row r="53" spans="1:5">
      <c r="A53" s="382"/>
      <c r="B53" s="382"/>
      <c r="C53" s="85" t="s">
        <v>174</v>
      </c>
      <c r="D53" s="86">
        <f t="shared" si="0"/>
        <v>0</v>
      </c>
    </row>
    <row r="54" spans="1:5">
      <c r="A54" s="382"/>
      <c r="B54" s="382"/>
      <c r="C54" s="85" t="s">
        <v>175</v>
      </c>
      <c r="D54" s="86">
        <f t="shared" si="0"/>
        <v>4</v>
      </c>
    </row>
    <row r="55" spans="1:5">
      <c r="A55" s="382"/>
      <c r="B55" s="382"/>
      <c r="C55" s="85" t="s">
        <v>176</v>
      </c>
      <c r="D55" s="86">
        <f t="shared" si="0"/>
        <v>0</v>
      </c>
    </row>
    <row r="56" spans="1:5">
      <c r="A56" s="382"/>
      <c r="B56" s="382"/>
      <c r="C56" s="85" t="s">
        <v>177</v>
      </c>
      <c r="D56" s="86">
        <f t="shared" si="0"/>
        <v>0</v>
      </c>
    </row>
    <row r="57" spans="1:5">
      <c r="B57" s="2">
        <f>SUM(B35:B56)</f>
        <v>20</v>
      </c>
      <c r="D57" s="2">
        <f>SUM(D35:D56)</f>
        <v>20</v>
      </c>
    </row>
  </sheetData>
  <mergeCells count="23">
    <mergeCell ref="A51:A56"/>
    <mergeCell ref="B51:B56"/>
    <mergeCell ref="C30:C33"/>
    <mergeCell ref="A35:A40"/>
    <mergeCell ref="B35:B40"/>
    <mergeCell ref="A41:A45"/>
    <mergeCell ref="B41:B45"/>
    <mergeCell ref="A46:A50"/>
    <mergeCell ref="B46:B50"/>
    <mergeCell ref="B3:B6"/>
    <mergeCell ref="C3:C6"/>
    <mergeCell ref="A1:M1"/>
    <mergeCell ref="G2:H2"/>
    <mergeCell ref="A34:B34"/>
    <mergeCell ref="C34:D34"/>
    <mergeCell ref="H26:I26"/>
    <mergeCell ref="H25:I25"/>
    <mergeCell ref="F27:G27"/>
    <mergeCell ref="C7:C9"/>
    <mergeCell ref="C19:C22"/>
    <mergeCell ref="C11:C18"/>
    <mergeCell ref="B7:B9"/>
    <mergeCell ref="B11:B22"/>
  </mergeCells>
  <phoneticPr fontId="1" type="noConversion"/>
  <pageMargins left="0.19685039370078741" right="0.19685039370078741" top="0.39370078740157483" bottom="0.39370078740157483" header="0" footer="0"/>
  <pageSetup paperSize="9" scale="4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D3963-4E9D-4486-BBCD-0A61870C86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18</vt:i4>
      </vt:variant>
    </vt:vector>
  </HeadingPairs>
  <TitlesOfParts>
    <vt:vector size="29" baseType="lpstr">
      <vt:lpstr>추진성과</vt:lpstr>
      <vt:lpstr>부서별 총괄표</vt:lpstr>
      <vt:lpstr>전체 총괄표</vt:lpstr>
      <vt:lpstr>경영지원팀</vt:lpstr>
      <vt:lpstr>소통혁신팀</vt:lpstr>
      <vt:lpstr>안전감사실</vt:lpstr>
      <vt:lpstr>문화체육팀</vt:lpstr>
      <vt:lpstr>교통사업팀</vt:lpstr>
      <vt:lpstr>환경지원팀</vt:lpstr>
      <vt:lpstr>환경사업팀</vt:lpstr>
      <vt:lpstr>행복나루</vt:lpstr>
      <vt:lpstr>경영지원팀!Print_Area</vt:lpstr>
      <vt:lpstr>교통사업팀!Print_Area</vt:lpstr>
      <vt:lpstr>문화체육팀!Print_Area</vt:lpstr>
      <vt:lpstr>'부서별 총괄표'!Print_Area</vt:lpstr>
      <vt:lpstr>소통혁신팀!Print_Area</vt:lpstr>
      <vt:lpstr>안전감사실!Print_Area</vt:lpstr>
      <vt:lpstr>'전체 총괄표'!Print_Area</vt:lpstr>
      <vt:lpstr>행복나루!Print_Area</vt:lpstr>
      <vt:lpstr>환경사업팀!Print_Area</vt:lpstr>
      <vt:lpstr>환경지원팀!Print_Area</vt:lpstr>
      <vt:lpstr>경영지원팀!Print_Titles</vt:lpstr>
      <vt:lpstr>교통사업팀!Print_Titles</vt:lpstr>
      <vt:lpstr>문화체육팀!Print_Titles</vt:lpstr>
      <vt:lpstr>소통혁신팀!Print_Titles</vt:lpstr>
      <vt:lpstr>안전감사실!Print_Titles</vt:lpstr>
      <vt:lpstr>행복나루!Print_Titles</vt:lpstr>
      <vt:lpstr>환경사업팀!Print_Titles</vt:lpstr>
      <vt:lpstr>환경지원팀!Print_Titles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user</cp:lastModifiedBy>
  <cp:revision>232</cp:revision>
  <cp:lastPrinted>2022-06-13T23:40:32Z</cp:lastPrinted>
  <dcterms:created xsi:type="dcterms:W3CDTF">2014-01-29T00:59:43Z</dcterms:created>
  <dcterms:modified xsi:type="dcterms:W3CDTF">2026-08-25T07:27:11Z</dcterms:modified>
</cp:coreProperties>
</file>